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parkisolutions-my.sharepoint.com/personal/murali_parkisolutions_com/Documents/Desktop/Dashboard/"/>
    </mc:Choice>
  </mc:AlternateContent>
  <xr:revisionPtr revIDLastSave="12" documentId="13_ncr:1_{2799B55A-2CCE-4374-8DD1-DA23232CDDA0}" xr6:coauthVersionLast="47" xr6:coauthVersionMax="47" xr10:uidLastSave="{5C0634AB-D0DF-4D23-B78A-791FF9F3ACFA}"/>
  <bookViews>
    <workbookView xWindow="-110" yWindow="-110" windowWidth="19420" windowHeight="11500" tabRatio="630" activeTab="1" xr2:uid="{00000000-000D-0000-FFFF-FFFF00000000}"/>
  </bookViews>
  <sheets>
    <sheet name="Dashboard" sheetId="1" r:id="rId1"/>
    <sheet name="MIS Data" sheetId="2" r:id="rId2"/>
    <sheet name="Utilization Data" sheetId="3" r:id="rId3"/>
    <sheet name="ChartData" sheetId="4" state="hidden" r:id="rId4"/>
    <sheet name="Resource Client Utilization" sheetId="5" r:id="rId5"/>
    <sheet name="_Lists" sheetId="6" state="hidden" r:id="rId6"/>
  </sheets>
  <definedNames>
    <definedName name="EmployeeList">OFFSET(_Lists!$C$1,0,0,COUNTIF(_Lists!$C$1:$C$51,"?*"),1)</definedName>
    <definedName name="_xlnm.Print_Area" localSheetId="0">Dashboard!$A$1:$T$73</definedName>
    <definedName name="_xlnm.Print_Area" localSheetId="1">'MIS Data'!$A$1:$I$18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2" i="6" l="1"/>
  <c r="A1" i="6"/>
  <c r="E4" i="5"/>
  <c r="B4" i="5"/>
  <c r="R21" i="4"/>
  <c r="S21" i="4" s="1"/>
  <c r="P21" i="4"/>
  <c r="F21" i="4"/>
  <c r="R20" i="4"/>
  <c r="T20" i="4" s="1"/>
  <c r="P20" i="4"/>
  <c r="Q20" i="4" s="1"/>
  <c r="F20" i="4"/>
  <c r="R19" i="4"/>
  <c r="S19" i="4" s="1"/>
  <c r="P19" i="4"/>
  <c r="Q19" i="4" s="1"/>
  <c r="F19" i="4"/>
  <c r="R18" i="4"/>
  <c r="T18" i="4" s="1"/>
  <c r="P18" i="4"/>
  <c r="Q18" i="4" s="1"/>
  <c r="F18" i="4"/>
  <c r="R17" i="4"/>
  <c r="S17" i="4" s="1"/>
  <c r="P17" i="4"/>
  <c r="Q17" i="4" s="1"/>
  <c r="F17" i="4"/>
  <c r="R16" i="4"/>
  <c r="T16" i="4" s="1"/>
  <c r="P16" i="4"/>
  <c r="Q16" i="4" s="1"/>
  <c r="F16" i="4"/>
  <c r="R15" i="4"/>
  <c r="S15" i="4" s="1"/>
  <c r="P15" i="4"/>
  <c r="F15" i="4"/>
  <c r="R14" i="4"/>
  <c r="P14" i="4"/>
  <c r="F14" i="4"/>
  <c r="R13" i="4"/>
  <c r="S13" i="4" s="1"/>
  <c r="P13" i="4"/>
  <c r="Q13" i="4" s="1"/>
  <c r="I13" i="4"/>
  <c r="F13" i="4"/>
  <c r="C13" i="4"/>
  <c r="B13" i="4"/>
  <c r="R12" i="4"/>
  <c r="P12" i="4"/>
  <c r="I12" i="4"/>
  <c r="F12" i="4"/>
  <c r="C12" i="4"/>
  <c r="B12" i="4"/>
  <c r="R11" i="4"/>
  <c r="S11" i="4" s="1"/>
  <c r="P11" i="4"/>
  <c r="Q11" i="4" s="1"/>
  <c r="I11" i="4"/>
  <c r="F11" i="4"/>
  <c r="C11" i="4"/>
  <c r="B11" i="4"/>
  <c r="R10" i="4"/>
  <c r="P10" i="4"/>
  <c r="I10" i="4"/>
  <c r="F10" i="4"/>
  <c r="C10" i="4"/>
  <c r="B10" i="4"/>
  <c r="R9" i="4"/>
  <c r="P9" i="4"/>
  <c r="Q9" i="4" s="1"/>
  <c r="I9" i="4"/>
  <c r="F9" i="4"/>
  <c r="C9" i="4"/>
  <c r="B9" i="4"/>
  <c r="R8" i="4"/>
  <c r="T8" i="4" s="1"/>
  <c r="P8" i="4"/>
  <c r="Q8" i="4" s="1"/>
  <c r="I8" i="4"/>
  <c r="F8" i="4"/>
  <c r="C8" i="4"/>
  <c r="B8" i="4"/>
  <c r="R7" i="4"/>
  <c r="S7" i="4" s="1"/>
  <c r="P7" i="4"/>
  <c r="I7" i="4"/>
  <c r="F7" i="4"/>
  <c r="C7" i="4"/>
  <c r="B7" i="4"/>
  <c r="R6" i="4"/>
  <c r="S6" i="4" s="1"/>
  <c r="P6" i="4"/>
  <c r="I6" i="4"/>
  <c r="F6" i="4"/>
  <c r="C6" i="4"/>
  <c r="B6" i="4"/>
  <c r="R5" i="4"/>
  <c r="P5" i="4"/>
  <c r="I5" i="4"/>
  <c r="F5" i="4"/>
  <c r="C5" i="4"/>
  <c r="B5" i="4"/>
  <c r="R4" i="4"/>
  <c r="T4" i="4" s="1"/>
  <c r="P4" i="4"/>
  <c r="I4" i="4"/>
  <c r="F4" i="4"/>
  <c r="C4" i="4"/>
  <c r="B4" i="4"/>
  <c r="R3" i="4"/>
  <c r="S3" i="4" s="1"/>
  <c r="P3" i="4"/>
  <c r="I3" i="4"/>
  <c r="F3" i="4"/>
  <c r="C3" i="4"/>
  <c r="B3" i="4"/>
  <c r="R2" i="4"/>
  <c r="S2" i="4" s="1"/>
  <c r="P2" i="4"/>
  <c r="I2" i="4"/>
  <c r="F2" i="4"/>
  <c r="C2" i="4"/>
  <c r="B2" i="4"/>
  <c r="AF364" i="3"/>
  <c r="AE364" i="3"/>
  <c r="AD364" i="3"/>
  <c r="AB364" i="3"/>
  <c r="AC364" i="3" s="1"/>
  <c r="AA364" i="3"/>
  <c r="AE363" i="3"/>
  <c r="AF363" i="3" s="1"/>
  <c r="AD363" i="3"/>
  <c r="AB363" i="3"/>
  <c r="AC363" i="3" s="1"/>
  <c r="AA363" i="3"/>
  <c r="AF362" i="3"/>
  <c r="AE362" i="3"/>
  <c r="AD362" i="3"/>
  <c r="AB362" i="3"/>
  <c r="AC362" i="3" s="1"/>
  <c r="AA362" i="3"/>
  <c r="AF361" i="3"/>
  <c r="AE361" i="3"/>
  <c r="AD361" i="3"/>
  <c r="AB361" i="3"/>
  <c r="AC361" i="3" s="1"/>
  <c r="AA361" i="3"/>
  <c r="AF360" i="3"/>
  <c r="AE360" i="3"/>
  <c r="AD360" i="3"/>
  <c r="AB360" i="3"/>
  <c r="AC360" i="3" s="1"/>
  <c r="AA360" i="3"/>
  <c r="AF359" i="3"/>
  <c r="AE359" i="3"/>
  <c r="AD359" i="3"/>
  <c r="AB359" i="3"/>
  <c r="AC359" i="3" s="1"/>
  <c r="AA359" i="3"/>
  <c r="AF358" i="3"/>
  <c r="AE358" i="3"/>
  <c r="AD358" i="3"/>
  <c r="AB358" i="3"/>
  <c r="AC358" i="3" s="1"/>
  <c r="AA358" i="3"/>
  <c r="AE357" i="3"/>
  <c r="AF357" i="3" s="1"/>
  <c r="AD357" i="3"/>
  <c r="AB357" i="3"/>
  <c r="AC357" i="3" s="1"/>
  <c r="AA357" i="3"/>
  <c r="AF356" i="3"/>
  <c r="AE356" i="3"/>
  <c r="AD356" i="3"/>
  <c r="AB356" i="3"/>
  <c r="AC356" i="3" s="1"/>
  <c r="AA356" i="3"/>
  <c r="AE355" i="3"/>
  <c r="AF355" i="3" s="1"/>
  <c r="AD355" i="3"/>
  <c r="AB355" i="3"/>
  <c r="AC355" i="3" s="1"/>
  <c r="AA355" i="3"/>
  <c r="AF354" i="3"/>
  <c r="AE354" i="3"/>
  <c r="AD354" i="3"/>
  <c r="AB354" i="3"/>
  <c r="AC354" i="3" s="1"/>
  <c r="AA354" i="3"/>
  <c r="AF353" i="3"/>
  <c r="AE353" i="3"/>
  <c r="AD353" i="3"/>
  <c r="AB353" i="3"/>
  <c r="AC353" i="3" s="1"/>
  <c r="AA353" i="3"/>
  <c r="AF352" i="3"/>
  <c r="AE352" i="3"/>
  <c r="AD352" i="3"/>
  <c r="AB352" i="3"/>
  <c r="AC352" i="3" s="1"/>
  <c r="AA352" i="3"/>
  <c r="AF351" i="3"/>
  <c r="AE351" i="3"/>
  <c r="AD351" i="3"/>
  <c r="AB351" i="3"/>
  <c r="AC351" i="3" s="1"/>
  <c r="AA351" i="3"/>
  <c r="AF350" i="3"/>
  <c r="AE350" i="3"/>
  <c r="AD350" i="3"/>
  <c r="AB350" i="3"/>
  <c r="AC350" i="3" s="1"/>
  <c r="AA350" i="3"/>
  <c r="AF349" i="3"/>
  <c r="AE349" i="3"/>
  <c r="AD349" i="3"/>
  <c r="AB349" i="3"/>
  <c r="AC349" i="3" s="1"/>
  <c r="AA349" i="3"/>
  <c r="AF348" i="3"/>
  <c r="AE348" i="3"/>
  <c r="AD348" i="3"/>
  <c r="AB348" i="3"/>
  <c r="AC348" i="3" s="1"/>
  <c r="AA348" i="3"/>
  <c r="AE347" i="3"/>
  <c r="AF347" i="3" s="1"/>
  <c r="AD347" i="3"/>
  <c r="AB347" i="3"/>
  <c r="AC347" i="3" s="1"/>
  <c r="AA347" i="3"/>
  <c r="AF346" i="3"/>
  <c r="AE346" i="3"/>
  <c r="AD346" i="3"/>
  <c r="AB346" i="3"/>
  <c r="AC346" i="3" s="1"/>
  <c r="AA346" i="3"/>
  <c r="AF345" i="3"/>
  <c r="AE345" i="3"/>
  <c r="AD345" i="3"/>
  <c r="AB345" i="3"/>
  <c r="AC345" i="3" s="1"/>
  <c r="AA345" i="3"/>
  <c r="AF344" i="3"/>
  <c r="AE344" i="3"/>
  <c r="AD344" i="3"/>
  <c r="AB344" i="3"/>
  <c r="AC344" i="3" s="1"/>
  <c r="AA344" i="3"/>
  <c r="AF343" i="3"/>
  <c r="AE343" i="3"/>
  <c r="AD343" i="3"/>
  <c r="AB343" i="3"/>
  <c r="AC343" i="3" s="1"/>
  <c r="AA343" i="3"/>
  <c r="AF342" i="3"/>
  <c r="AE342" i="3"/>
  <c r="AD342" i="3"/>
  <c r="AB342" i="3"/>
  <c r="AC342" i="3" s="1"/>
  <c r="AA342" i="3"/>
  <c r="AE341" i="3"/>
  <c r="AF341" i="3" s="1"/>
  <c r="AD341" i="3"/>
  <c r="AB341" i="3"/>
  <c r="AC341" i="3" s="1"/>
  <c r="AA341" i="3"/>
  <c r="AF340" i="3"/>
  <c r="AE340" i="3"/>
  <c r="AD340" i="3"/>
  <c r="AB340" i="3"/>
  <c r="AC340" i="3" s="1"/>
  <c r="AA340" i="3"/>
  <c r="AE339" i="3"/>
  <c r="AF339" i="3" s="1"/>
  <c r="AD339" i="3"/>
  <c r="AB339" i="3"/>
  <c r="AC339" i="3" s="1"/>
  <c r="AA339" i="3"/>
  <c r="AF338" i="3"/>
  <c r="AE338" i="3"/>
  <c r="AD338" i="3"/>
  <c r="AB338" i="3"/>
  <c r="AC338" i="3" s="1"/>
  <c r="AA338" i="3"/>
  <c r="AF337" i="3"/>
  <c r="AE337" i="3"/>
  <c r="AD337" i="3"/>
  <c r="AB337" i="3"/>
  <c r="AC337" i="3" s="1"/>
  <c r="AA337" i="3"/>
  <c r="AF336" i="3"/>
  <c r="AE336" i="3"/>
  <c r="AD336" i="3"/>
  <c r="AB336" i="3"/>
  <c r="AC336" i="3" s="1"/>
  <c r="AA336" i="3"/>
  <c r="AF335" i="3"/>
  <c r="AE335" i="3"/>
  <c r="AD335" i="3"/>
  <c r="AB335" i="3"/>
  <c r="AC335" i="3" s="1"/>
  <c r="AA335" i="3"/>
  <c r="AF334" i="3"/>
  <c r="AE334" i="3"/>
  <c r="AD334" i="3"/>
  <c r="AB334" i="3"/>
  <c r="AC334" i="3" s="1"/>
  <c r="AA334" i="3"/>
  <c r="AF333" i="3"/>
  <c r="AE333" i="3"/>
  <c r="AD333" i="3"/>
  <c r="AB333" i="3"/>
  <c r="AC333" i="3" s="1"/>
  <c r="AA333" i="3"/>
  <c r="AF332" i="3"/>
  <c r="AE332" i="3"/>
  <c r="AD332" i="3"/>
  <c r="AB332" i="3"/>
  <c r="AC332" i="3" s="1"/>
  <c r="AA332" i="3"/>
  <c r="AE331" i="3"/>
  <c r="AF331" i="3" s="1"/>
  <c r="AD331" i="3"/>
  <c r="AB331" i="3"/>
  <c r="AC331" i="3" s="1"/>
  <c r="AA331" i="3"/>
  <c r="AF330" i="3"/>
  <c r="AE330" i="3"/>
  <c r="AD330" i="3"/>
  <c r="AB330" i="3"/>
  <c r="AC330" i="3" s="1"/>
  <c r="AA330" i="3"/>
  <c r="AF329" i="3"/>
  <c r="AE329" i="3"/>
  <c r="AD329" i="3"/>
  <c r="AB329" i="3"/>
  <c r="AC329" i="3" s="1"/>
  <c r="AA329" i="3"/>
  <c r="AF328" i="3"/>
  <c r="AE328" i="3"/>
  <c r="AD328" i="3"/>
  <c r="AB328" i="3"/>
  <c r="AC328" i="3" s="1"/>
  <c r="AA328" i="3"/>
  <c r="AF327" i="3"/>
  <c r="AE327" i="3"/>
  <c r="AD327" i="3"/>
  <c r="AB327" i="3"/>
  <c r="AC327" i="3" s="1"/>
  <c r="AA327" i="3"/>
  <c r="AF326" i="3"/>
  <c r="AE326" i="3"/>
  <c r="AD326" i="3"/>
  <c r="AB326" i="3"/>
  <c r="AC326" i="3" s="1"/>
  <c r="AA326" i="3"/>
  <c r="AE325" i="3"/>
  <c r="AF325" i="3" s="1"/>
  <c r="AD325" i="3"/>
  <c r="AB325" i="3"/>
  <c r="AC325" i="3" s="1"/>
  <c r="AA325" i="3"/>
  <c r="AF324" i="3"/>
  <c r="AE324" i="3"/>
  <c r="AD324" i="3"/>
  <c r="AB324" i="3"/>
  <c r="AC324" i="3" s="1"/>
  <c r="AA324" i="3"/>
  <c r="AE323" i="3"/>
  <c r="AF323" i="3" s="1"/>
  <c r="AD323" i="3"/>
  <c r="AB323" i="3"/>
  <c r="AC323" i="3" s="1"/>
  <c r="AA323" i="3"/>
  <c r="AF322" i="3"/>
  <c r="AE322" i="3"/>
  <c r="AD322" i="3"/>
  <c r="AB322" i="3"/>
  <c r="AC322" i="3" s="1"/>
  <c r="AA322" i="3"/>
  <c r="AF321" i="3"/>
  <c r="AE321" i="3"/>
  <c r="AD321" i="3"/>
  <c r="AB321" i="3"/>
  <c r="AC321" i="3" s="1"/>
  <c r="AA321" i="3"/>
  <c r="AF320" i="3"/>
  <c r="AE320" i="3"/>
  <c r="AD320" i="3"/>
  <c r="AB320" i="3"/>
  <c r="AC320" i="3" s="1"/>
  <c r="AA320" i="3"/>
  <c r="AF319" i="3"/>
  <c r="AE319" i="3"/>
  <c r="AD319" i="3"/>
  <c r="AB319" i="3"/>
  <c r="AC319" i="3" s="1"/>
  <c r="AA319" i="3"/>
  <c r="AF318" i="3"/>
  <c r="AE318" i="3"/>
  <c r="AD318" i="3"/>
  <c r="AB318" i="3"/>
  <c r="AC318" i="3" s="1"/>
  <c r="AA318" i="3"/>
  <c r="AF317" i="3"/>
  <c r="AE317" i="3"/>
  <c r="AD317" i="3"/>
  <c r="AB317" i="3"/>
  <c r="AC317" i="3" s="1"/>
  <c r="AA317" i="3"/>
  <c r="AF316" i="3"/>
  <c r="AE316" i="3"/>
  <c r="AD316" i="3"/>
  <c r="AB316" i="3"/>
  <c r="AC316" i="3" s="1"/>
  <c r="AA316" i="3"/>
  <c r="AE315" i="3"/>
  <c r="AF315" i="3" s="1"/>
  <c r="AD315" i="3"/>
  <c r="AB315" i="3"/>
  <c r="AC315" i="3" s="1"/>
  <c r="AA315" i="3"/>
  <c r="AF314" i="3"/>
  <c r="AE314" i="3"/>
  <c r="AD314" i="3"/>
  <c r="AB314" i="3"/>
  <c r="AC314" i="3" s="1"/>
  <c r="AA314" i="3"/>
  <c r="AF313" i="3"/>
  <c r="AE313" i="3"/>
  <c r="AD313" i="3"/>
  <c r="AB313" i="3"/>
  <c r="AC313" i="3" s="1"/>
  <c r="AA313" i="3"/>
  <c r="AF312" i="3"/>
  <c r="AE312" i="3"/>
  <c r="AD312" i="3"/>
  <c r="AB312" i="3"/>
  <c r="AC312" i="3" s="1"/>
  <c r="AA312" i="3"/>
  <c r="AF311" i="3"/>
  <c r="AE311" i="3"/>
  <c r="AD311" i="3"/>
  <c r="AB311" i="3"/>
  <c r="AC311" i="3" s="1"/>
  <c r="AA311" i="3"/>
  <c r="AF310" i="3"/>
  <c r="AE310" i="3"/>
  <c r="AD310" i="3"/>
  <c r="AB310" i="3"/>
  <c r="AC310" i="3" s="1"/>
  <c r="AA310" i="3"/>
  <c r="AE309" i="3"/>
  <c r="AF309" i="3" s="1"/>
  <c r="AD309" i="3"/>
  <c r="AB309" i="3"/>
  <c r="AC309" i="3" s="1"/>
  <c r="AA309" i="3"/>
  <c r="AF308" i="3"/>
  <c r="AE308" i="3"/>
  <c r="AD308" i="3"/>
  <c r="AB308" i="3"/>
  <c r="AC308" i="3" s="1"/>
  <c r="AA308" i="3"/>
  <c r="AE307" i="3"/>
  <c r="AF307" i="3" s="1"/>
  <c r="AD307" i="3"/>
  <c r="AB307" i="3"/>
  <c r="AC307" i="3" s="1"/>
  <c r="AA307" i="3"/>
  <c r="AF306" i="3"/>
  <c r="AE306" i="3"/>
  <c r="AD306" i="3"/>
  <c r="AB306" i="3"/>
  <c r="AC306" i="3" s="1"/>
  <c r="AA306" i="3"/>
  <c r="AF305" i="3"/>
  <c r="AE305" i="3"/>
  <c r="AD305" i="3"/>
  <c r="AB305" i="3"/>
  <c r="AC305" i="3" s="1"/>
  <c r="AA305" i="3"/>
  <c r="AF304" i="3"/>
  <c r="AE304" i="3"/>
  <c r="AD304" i="3"/>
  <c r="AB304" i="3"/>
  <c r="AC304" i="3" s="1"/>
  <c r="AA304" i="3"/>
  <c r="AF303" i="3"/>
  <c r="AE303" i="3"/>
  <c r="AD303" i="3"/>
  <c r="AB303" i="3"/>
  <c r="AC303" i="3" s="1"/>
  <c r="AA303" i="3"/>
  <c r="AF302" i="3"/>
  <c r="AE302" i="3"/>
  <c r="AD302" i="3"/>
  <c r="AB302" i="3"/>
  <c r="AC302" i="3" s="1"/>
  <c r="AA302" i="3"/>
  <c r="AF301" i="3"/>
  <c r="AE301" i="3"/>
  <c r="AD301" i="3"/>
  <c r="AB301" i="3"/>
  <c r="AC301" i="3" s="1"/>
  <c r="AA301" i="3"/>
  <c r="AE300" i="3"/>
  <c r="AF300" i="3" s="1"/>
  <c r="AD300" i="3"/>
  <c r="AB300" i="3"/>
  <c r="AC300" i="3" s="1"/>
  <c r="AA300" i="3"/>
  <c r="AF299" i="3"/>
  <c r="AE299" i="3"/>
  <c r="AD299" i="3"/>
  <c r="AB299" i="3"/>
  <c r="AC299" i="3" s="1"/>
  <c r="AA299" i="3"/>
  <c r="AF298" i="3"/>
  <c r="AE298" i="3"/>
  <c r="AD298" i="3"/>
  <c r="AB298" i="3"/>
  <c r="AC298" i="3" s="1"/>
  <c r="AA298" i="3"/>
  <c r="AF297" i="3"/>
  <c r="AE297" i="3"/>
  <c r="AD297" i="3"/>
  <c r="AB297" i="3"/>
  <c r="AC297" i="3" s="1"/>
  <c r="AA297" i="3"/>
  <c r="AF296" i="3"/>
  <c r="AE296" i="3"/>
  <c r="AD296" i="3"/>
  <c r="AB296" i="3"/>
  <c r="AC296" i="3" s="1"/>
  <c r="AA296" i="3"/>
  <c r="AF295" i="3"/>
  <c r="AE295" i="3"/>
  <c r="AD295" i="3"/>
  <c r="AB295" i="3"/>
  <c r="AC295" i="3" s="1"/>
  <c r="AA295" i="3"/>
  <c r="AF294" i="3"/>
  <c r="AE294" i="3"/>
  <c r="AD294" i="3"/>
  <c r="AB294" i="3"/>
  <c r="AC294" i="3" s="1"/>
  <c r="AA294" i="3"/>
  <c r="AF293" i="3"/>
  <c r="AE293" i="3"/>
  <c r="AD293" i="3"/>
  <c r="AB293" i="3"/>
  <c r="AC293" i="3" s="1"/>
  <c r="AA293" i="3"/>
  <c r="AE292" i="3"/>
  <c r="AF292" i="3" s="1"/>
  <c r="AD292" i="3"/>
  <c r="AB292" i="3"/>
  <c r="AC292" i="3" s="1"/>
  <c r="AA292" i="3"/>
  <c r="AF291" i="3"/>
  <c r="AE291" i="3"/>
  <c r="AD291" i="3"/>
  <c r="AB291" i="3"/>
  <c r="AC291" i="3" s="1"/>
  <c r="AA291" i="3"/>
  <c r="AF290" i="3"/>
  <c r="AE290" i="3"/>
  <c r="AD290" i="3"/>
  <c r="AB290" i="3"/>
  <c r="AC290" i="3" s="1"/>
  <c r="AA290" i="3"/>
  <c r="AF289" i="3"/>
  <c r="AE289" i="3"/>
  <c r="AD289" i="3"/>
  <c r="AB289" i="3"/>
  <c r="AC289" i="3" s="1"/>
  <c r="AA289" i="3"/>
  <c r="AF288" i="3"/>
  <c r="AE288" i="3"/>
  <c r="AD288" i="3"/>
  <c r="AB288" i="3"/>
  <c r="AC288" i="3" s="1"/>
  <c r="AA288" i="3"/>
  <c r="AF287" i="3"/>
  <c r="AE287" i="3"/>
  <c r="AD287" i="3"/>
  <c r="AB287" i="3"/>
  <c r="AC287" i="3" s="1"/>
  <c r="AA287" i="3"/>
  <c r="AF286" i="3"/>
  <c r="AE286" i="3"/>
  <c r="AD286" i="3"/>
  <c r="AB286" i="3"/>
  <c r="AC286" i="3" s="1"/>
  <c r="AA286" i="3"/>
  <c r="AF285" i="3"/>
  <c r="AE285" i="3"/>
  <c r="AD285" i="3"/>
  <c r="AB285" i="3"/>
  <c r="AC285" i="3" s="1"/>
  <c r="AA285" i="3"/>
  <c r="AE284" i="3"/>
  <c r="AF284" i="3" s="1"/>
  <c r="AD284" i="3"/>
  <c r="AB284" i="3"/>
  <c r="AC284" i="3" s="1"/>
  <c r="AA284" i="3"/>
  <c r="AF283" i="3"/>
  <c r="AE283" i="3"/>
  <c r="AD283" i="3"/>
  <c r="AB283" i="3"/>
  <c r="AC283" i="3" s="1"/>
  <c r="AA283" i="3"/>
  <c r="AF282" i="3"/>
  <c r="AE282" i="3"/>
  <c r="AD282" i="3"/>
  <c r="AB282" i="3"/>
  <c r="AC282" i="3" s="1"/>
  <c r="AA282" i="3"/>
  <c r="AF281" i="3"/>
  <c r="AE281" i="3"/>
  <c r="AD281" i="3"/>
  <c r="AB281" i="3"/>
  <c r="AC281" i="3" s="1"/>
  <c r="AA281" i="3"/>
  <c r="AF280" i="3"/>
  <c r="AE280" i="3"/>
  <c r="AD280" i="3"/>
  <c r="AB280" i="3"/>
  <c r="AC280" i="3" s="1"/>
  <c r="AA280" i="3"/>
  <c r="AF279" i="3"/>
  <c r="AE279" i="3"/>
  <c r="AD279" i="3"/>
  <c r="AB279" i="3"/>
  <c r="AC279" i="3" s="1"/>
  <c r="AA279" i="3"/>
  <c r="AF278" i="3"/>
  <c r="AE278" i="3"/>
  <c r="AD278" i="3"/>
  <c r="AB278" i="3"/>
  <c r="AC278" i="3" s="1"/>
  <c r="AA278" i="3"/>
  <c r="AF277" i="3"/>
  <c r="AE277" i="3"/>
  <c r="AD277" i="3"/>
  <c r="AB277" i="3"/>
  <c r="AC277" i="3" s="1"/>
  <c r="AA277" i="3"/>
  <c r="AE276" i="3"/>
  <c r="AF276" i="3" s="1"/>
  <c r="AD276" i="3"/>
  <c r="AB276" i="3"/>
  <c r="AC276" i="3" s="1"/>
  <c r="AA276" i="3"/>
  <c r="AF275" i="3"/>
  <c r="AE275" i="3"/>
  <c r="AD275" i="3"/>
  <c r="AB275" i="3"/>
  <c r="AC275" i="3" s="1"/>
  <c r="AA275" i="3"/>
  <c r="AF274" i="3"/>
  <c r="AE274" i="3"/>
  <c r="AD274" i="3"/>
  <c r="AB274" i="3"/>
  <c r="AC274" i="3" s="1"/>
  <c r="AA274" i="3"/>
  <c r="AF273" i="3"/>
  <c r="AE273" i="3"/>
  <c r="AD273" i="3"/>
  <c r="AB273" i="3"/>
  <c r="AC273" i="3" s="1"/>
  <c r="AA273" i="3"/>
  <c r="AF272" i="3"/>
  <c r="AE272" i="3"/>
  <c r="AD272" i="3"/>
  <c r="AB272" i="3"/>
  <c r="AC272" i="3" s="1"/>
  <c r="AA272" i="3"/>
  <c r="AF271" i="3"/>
  <c r="AE271" i="3"/>
  <c r="AD271" i="3"/>
  <c r="AB271" i="3"/>
  <c r="AC271" i="3" s="1"/>
  <c r="AA271" i="3"/>
  <c r="AF270" i="3"/>
  <c r="AE270" i="3"/>
  <c r="AD270" i="3"/>
  <c r="AB270" i="3"/>
  <c r="AC270" i="3" s="1"/>
  <c r="AA270" i="3"/>
  <c r="AF269" i="3"/>
  <c r="AE269" i="3"/>
  <c r="AD269" i="3"/>
  <c r="AB269" i="3"/>
  <c r="AC269" i="3" s="1"/>
  <c r="AA269" i="3"/>
  <c r="AE268" i="3"/>
  <c r="AF268" i="3" s="1"/>
  <c r="AD268" i="3"/>
  <c r="AB268" i="3"/>
  <c r="AC268" i="3" s="1"/>
  <c r="AA268" i="3"/>
  <c r="AF267" i="3"/>
  <c r="AE267" i="3"/>
  <c r="AD267" i="3"/>
  <c r="AB267" i="3"/>
  <c r="AC267" i="3" s="1"/>
  <c r="AA267" i="3"/>
  <c r="AF266" i="3"/>
  <c r="AE266" i="3"/>
  <c r="AD266" i="3"/>
  <c r="AB266" i="3"/>
  <c r="AC266" i="3" s="1"/>
  <c r="AA266" i="3"/>
  <c r="AF265" i="3"/>
  <c r="AE265" i="3"/>
  <c r="AD265" i="3"/>
  <c r="AB265" i="3"/>
  <c r="AC265" i="3" s="1"/>
  <c r="AA265" i="3"/>
  <c r="AF264" i="3"/>
  <c r="AE264" i="3"/>
  <c r="AD264" i="3"/>
  <c r="AB264" i="3"/>
  <c r="AC264" i="3" s="1"/>
  <c r="AA264" i="3"/>
  <c r="AF263" i="3"/>
  <c r="AE263" i="3"/>
  <c r="AD263" i="3"/>
  <c r="AB263" i="3"/>
  <c r="AC263" i="3" s="1"/>
  <c r="AA263" i="3"/>
  <c r="AF262" i="3"/>
  <c r="AE262" i="3"/>
  <c r="AD262" i="3"/>
  <c r="AB262" i="3"/>
  <c r="AC262" i="3" s="1"/>
  <c r="AA262" i="3"/>
  <c r="AF261" i="3"/>
  <c r="AE261" i="3"/>
  <c r="AD261" i="3"/>
  <c r="AB261" i="3"/>
  <c r="AC261" i="3" s="1"/>
  <c r="AA261" i="3"/>
  <c r="AE260" i="3"/>
  <c r="AF260" i="3" s="1"/>
  <c r="AD260" i="3"/>
  <c r="AB260" i="3"/>
  <c r="AC260" i="3" s="1"/>
  <c r="AA260" i="3"/>
  <c r="AF259" i="3"/>
  <c r="AE259" i="3"/>
  <c r="AD259" i="3"/>
  <c r="AB259" i="3"/>
  <c r="AC259" i="3" s="1"/>
  <c r="AA259" i="3"/>
  <c r="AF258" i="3"/>
  <c r="AE258" i="3"/>
  <c r="AD258" i="3"/>
  <c r="AB258" i="3"/>
  <c r="AC258" i="3" s="1"/>
  <c r="AA258" i="3"/>
  <c r="AF257" i="3"/>
  <c r="AE257" i="3"/>
  <c r="AD257" i="3"/>
  <c r="AB257" i="3"/>
  <c r="AC257" i="3" s="1"/>
  <c r="AA257" i="3"/>
  <c r="AF256" i="3"/>
  <c r="AE256" i="3"/>
  <c r="AD256" i="3"/>
  <c r="AB256" i="3"/>
  <c r="AC256" i="3" s="1"/>
  <c r="AA256" i="3"/>
  <c r="AF255" i="3"/>
  <c r="AE255" i="3"/>
  <c r="AD255" i="3"/>
  <c r="AB255" i="3"/>
  <c r="AC255" i="3" s="1"/>
  <c r="AA255" i="3"/>
  <c r="AF254" i="3"/>
  <c r="AE254" i="3"/>
  <c r="AD254" i="3"/>
  <c r="AB254" i="3"/>
  <c r="AC254" i="3" s="1"/>
  <c r="AA254" i="3"/>
  <c r="AF253" i="3"/>
  <c r="AE253" i="3"/>
  <c r="AD253" i="3"/>
  <c r="AB253" i="3"/>
  <c r="AC253" i="3" s="1"/>
  <c r="AA253" i="3"/>
  <c r="AE252" i="3"/>
  <c r="AF252" i="3" s="1"/>
  <c r="AD252" i="3"/>
  <c r="AB252" i="3"/>
  <c r="AC252" i="3" s="1"/>
  <c r="AA252" i="3"/>
  <c r="AF251" i="3"/>
  <c r="AE251" i="3"/>
  <c r="AD251" i="3"/>
  <c r="AB251" i="3"/>
  <c r="AC251" i="3" s="1"/>
  <c r="AA251" i="3"/>
  <c r="AF250" i="3"/>
  <c r="AE250" i="3"/>
  <c r="AD250" i="3"/>
  <c r="AB250" i="3"/>
  <c r="AC250" i="3" s="1"/>
  <c r="AA250" i="3"/>
  <c r="AF249" i="3"/>
  <c r="AE249" i="3"/>
  <c r="AD249" i="3"/>
  <c r="AB249" i="3"/>
  <c r="AC249" i="3" s="1"/>
  <c r="AA249" i="3"/>
  <c r="AF248" i="3"/>
  <c r="AE248" i="3"/>
  <c r="AD248" i="3"/>
  <c r="AB248" i="3"/>
  <c r="AC248" i="3" s="1"/>
  <c r="AA248" i="3"/>
  <c r="AF247" i="3"/>
  <c r="AE247" i="3"/>
  <c r="AD247" i="3"/>
  <c r="AB247" i="3"/>
  <c r="AC247" i="3" s="1"/>
  <c r="AA247" i="3"/>
  <c r="AF246" i="3"/>
  <c r="AE246" i="3"/>
  <c r="AD246" i="3"/>
  <c r="AB246" i="3"/>
  <c r="AC246" i="3" s="1"/>
  <c r="AA246" i="3"/>
  <c r="AF245" i="3"/>
  <c r="AE245" i="3"/>
  <c r="AD245" i="3"/>
  <c r="AB245" i="3"/>
  <c r="AC245" i="3" s="1"/>
  <c r="AA245" i="3"/>
  <c r="AE244" i="3"/>
  <c r="AF244" i="3" s="1"/>
  <c r="AD244" i="3"/>
  <c r="AB244" i="3"/>
  <c r="AC244" i="3" s="1"/>
  <c r="AA244" i="3"/>
  <c r="AF243" i="3"/>
  <c r="AE243" i="3"/>
  <c r="AD243" i="3"/>
  <c r="AB243" i="3"/>
  <c r="AC243" i="3" s="1"/>
  <c r="AA243" i="3"/>
  <c r="AF242" i="3"/>
  <c r="AE242" i="3"/>
  <c r="AD242" i="3"/>
  <c r="AB242" i="3"/>
  <c r="AC242" i="3" s="1"/>
  <c r="AA242" i="3"/>
  <c r="AF241" i="3"/>
  <c r="AE241" i="3"/>
  <c r="AD241" i="3"/>
  <c r="AB241" i="3"/>
  <c r="AC241" i="3" s="1"/>
  <c r="AA241" i="3"/>
  <c r="AF240" i="3"/>
  <c r="AE240" i="3"/>
  <c r="AD240" i="3"/>
  <c r="AB240" i="3"/>
  <c r="AC240" i="3" s="1"/>
  <c r="AA240" i="3"/>
  <c r="AF239" i="3"/>
  <c r="AE239" i="3"/>
  <c r="AD239" i="3"/>
  <c r="AB239" i="3"/>
  <c r="AC239" i="3" s="1"/>
  <c r="AA239" i="3"/>
  <c r="AF238" i="3"/>
  <c r="AE238" i="3"/>
  <c r="AD238" i="3"/>
  <c r="AB238" i="3"/>
  <c r="AC238" i="3" s="1"/>
  <c r="AA238" i="3"/>
  <c r="AF237" i="3"/>
  <c r="AE237" i="3"/>
  <c r="AD237" i="3"/>
  <c r="AB237" i="3"/>
  <c r="AC237" i="3" s="1"/>
  <c r="AA237" i="3"/>
  <c r="AE236" i="3"/>
  <c r="AF236" i="3" s="1"/>
  <c r="AD236" i="3"/>
  <c r="AB236" i="3"/>
  <c r="AC236" i="3" s="1"/>
  <c r="AA236" i="3"/>
  <c r="AF235" i="3"/>
  <c r="AE235" i="3"/>
  <c r="AD235" i="3"/>
  <c r="AB235" i="3"/>
  <c r="AC235" i="3" s="1"/>
  <c r="AA235" i="3"/>
  <c r="AF234" i="3"/>
  <c r="AE234" i="3"/>
  <c r="AD234" i="3"/>
  <c r="AB234" i="3"/>
  <c r="AC234" i="3" s="1"/>
  <c r="AA234" i="3"/>
  <c r="AF233" i="3"/>
  <c r="AE233" i="3"/>
  <c r="AD233" i="3"/>
  <c r="AB233" i="3"/>
  <c r="AC233" i="3" s="1"/>
  <c r="AA233" i="3"/>
  <c r="AF232" i="3"/>
  <c r="AE232" i="3"/>
  <c r="AD232" i="3"/>
  <c r="AB232" i="3"/>
  <c r="AC232" i="3" s="1"/>
  <c r="AA232" i="3"/>
  <c r="AF231" i="3"/>
  <c r="AE231" i="3"/>
  <c r="AD231" i="3"/>
  <c r="AB231" i="3"/>
  <c r="AC231" i="3" s="1"/>
  <c r="AA231" i="3"/>
  <c r="AF230" i="3"/>
  <c r="AE230" i="3"/>
  <c r="AD230" i="3"/>
  <c r="AB230" i="3"/>
  <c r="AC230" i="3" s="1"/>
  <c r="AA230" i="3"/>
  <c r="AF229" i="3"/>
  <c r="AE229" i="3"/>
  <c r="AD229" i="3"/>
  <c r="AB229" i="3"/>
  <c r="AC229" i="3" s="1"/>
  <c r="AA229" i="3"/>
  <c r="AE228" i="3"/>
  <c r="AF228" i="3" s="1"/>
  <c r="AD228" i="3"/>
  <c r="AB228" i="3"/>
  <c r="AC228" i="3" s="1"/>
  <c r="AA228" i="3"/>
  <c r="AF227" i="3"/>
  <c r="AE227" i="3"/>
  <c r="AD227" i="3"/>
  <c r="AB227" i="3"/>
  <c r="AC227" i="3" s="1"/>
  <c r="AA227" i="3"/>
  <c r="AF226" i="3"/>
  <c r="AE226" i="3"/>
  <c r="AD226" i="3"/>
  <c r="AB226" i="3"/>
  <c r="AC226" i="3" s="1"/>
  <c r="AA226" i="3"/>
  <c r="AF225" i="3"/>
  <c r="AE225" i="3"/>
  <c r="AD225" i="3"/>
  <c r="AB225" i="3"/>
  <c r="AC225" i="3" s="1"/>
  <c r="AA225" i="3"/>
  <c r="AF224" i="3"/>
  <c r="AE224" i="3"/>
  <c r="AD224" i="3"/>
  <c r="AB224" i="3"/>
  <c r="AC224" i="3" s="1"/>
  <c r="AA224" i="3"/>
  <c r="AF223" i="3"/>
  <c r="AE223" i="3"/>
  <c r="AD223" i="3"/>
  <c r="AB223" i="3"/>
  <c r="AC223" i="3" s="1"/>
  <c r="AA223" i="3"/>
  <c r="AF222" i="3"/>
  <c r="AE222" i="3"/>
  <c r="AD222" i="3"/>
  <c r="AB222" i="3"/>
  <c r="AC222" i="3" s="1"/>
  <c r="AA222" i="3"/>
  <c r="AF221" i="3"/>
  <c r="AE221" i="3"/>
  <c r="AD221" i="3"/>
  <c r="AB221" i="3"/>
  <c r="AC221" i="3" s="1"/>
  <c r="AA221" i="3"/>
  <c r="AE220" i="3"/>
  <c r="AF220" i="3" s="1"/>
  <c r="AD220" i="3"/>
  <c r="AB220" i="3"/>
  <c r="AC220" i="3" s="1"/>
  <c r="AA220" i="3"/>
  <c r="AF219" i="3"/>
  <c r="AE219" i="3"/>
  <c r="AD219" i="3"/>
  <c r="AB219" i="3"/>
  <c r="AC219" i="3" s="1"/>
  <c r="AA219" i="3"/>
  <c r="AF218" i="3"/>
  <c r="AE218" i="3"/>
  <c r="AD218" i="3"/>
  <c r="AB218" i="3"/>
  <c r="AC218" i="3" s="1"/>
  <c r="AA218" i="3"/>
  <c r="AF217" i="3"/>
  <c r="AE217" i="3"/>
  <c r="AD217" i="3"/>
  <c r="AB217" i="3"/>
  <c r="AC217" i="3" s="1"/>
  <c r="AA217" i="3"/>
  <c r="AF216" i="3"/>
  <c r="AE216" i="3"/>
  <c r="AD216" i="3"/>
  <c r="AB216" i="3"/>
  <c r="AC216" i="3" s="1"/>
  <c r="AA216" i="3"/>
  <c r="AF215" i="3"/>
  <c r="AE215" i="3"/>
  <c r="AD215" i="3"/>
  <c r="AB215" i="3"/>
  <c r="AC215" i="3" s="1"/>
  <c r="AA215" i="3"/>
  <c r="AF214" i="3"/>
  <c r="AE214" i="3"/>
  <c r="AD214" i="3"/>
  <c r="AB214" i="3"/>
  <c r="AC214" i="3" s="1"/>
  <c r="AA214" i="3"/>
  <c r="AF213" i="3"/>
  <c r="AE213" i="3"/>
  <c r="AD213" i="3"/>
  <c r="AB213" i="3"/>
  <c r="AC213" i="3" s="1"/>
  <c r="AA213" i="3"/>
  <c r="AE212" i="3"/>
  <c r="AF212" i="3" s="1"/>
  <c r="AD212" i="3"/>
  <c r="AB212" i="3"/>
  <c r="AC212" i="3" s="1"/>
  <c r="AA212" i="3"/>
  <c r="AF211" i="3"/>
  <c r="AE211" i="3"/>
  <c r="AD211" i="3"/>
  <c r="AB211" i="3"/>
  <c r="AC211" i="3" s="1"/>
  <c r="AA211" i="3"/>
  <c r="AF210" i="3"/>
  <c r="AE210" i="3"/>
  <c r="AD210" i="3"/>
  <c r="AB210" i="3"/>
  <c r="AC210" i="3" s="1"/>
  <c r="AA210" i="3"/>
  <c r="AF209" i="3"/>
  <c r="AE209" i="3"/>
  <c r="AD209" i="3"/>
  <c r="AB209" i="3"/>
  <c r="AC209" i="3" s="1"/>
  <c r="AA209" i="3"/>
  <c r="AF208" i="3"/>
  <c r="AE208" i="3"/>
  <c r="AD208" i="3"/>
  <c r="AB208" i="3"/>
  <c r="AC208" i="3" s="1"/>
  <c r="AA208" i="3"/>
  <c r="AF207" i="3"/>
  <c r="AE207" i="3"/>
  <c r="AD207" i="3"/>
  <c r="AB207" i="3"/>
  <c r="AC207" i="3" s="1"/>
  <c r="AA207" i="3"/>
  <c r="AF206" i="3"/>
  <c r="AE206" i="3"/>
  <c r="AD206" i="3"/>
  <c r="AB206" i="3"/>
  <c r="AC206" i="3" s="1"/>
  <c r="AA206" i="3"/>
  <c r="AF205" i="3"/>
  <c r="AE205" i="3"/>
  <c r="AD205" i="3"/>
  <c r="AB205" i="3"/>
  <c r="AC205" i="3" s="1"/>
  <c r="AA205" i="3"/>
  <c r="AE204" i="3"/>
  <c r="AF204" i="3" s="1"/>
  <c r="AD204" i="3"/>
  <c r="AB204" i="3"/>
  <c r="AC204" i="3" s="1"/>
  <c r="AA204" i="3"/>
  <c r="AF203" i="3"/>
  <c r="AE203" i="3"/>
  <c r="AD203" i="3"/>
  <c r="AB203" i="3"/>
  <c r="AC203" i="3" s="1"/>
  <c r="AA203" i="3"/>
  <c r="AE202" i="3"/>
  <c r="AF202" i="3" s="1"/>
  <c r="AD202" i="3"/>
  <c r="AB202" i="3"/>
  <c r="AC202" i="3" s="1"/>
  <c r="AA202" i="3"/>
  <c r="AF201" i="3"/>
  <c r="AE201" i="3"/>
  <c r="AD201" i="3"/>
  <c r="AB201" i="3"/>
  <c r="AC201" i="3" s="1"/>
  <c r="AA201" i="3"/>
  <c r="AE200" i="3"/>
  <c r="AF200" i="3" s="1"/>
  <c r="AD200" i="3"/>
  <c r="AB200" i="3"/>
  <c r="AC200" i="3" s="1"/>
  <c r="AA200" i="3"/>
  <c r="AF199" i="3"/>
  <c r="AE199" i="3"/>
  <c r="AD199" i="3"/>
  <c r="AB199" i="3"/>
  <c r="AC199" i="3" s="1"/>
  <c r="AA199" i="3"/>
  <c r="AE198" i="3"/>
  <c r="AF198" i="3" s="1"/>
  <c r="AD198" i="3"/>
  <c r="AB198" i="3"/>
  <c r="AC198" i="3" s="1"/>
  <c r="AA198" i="3"/>
  <c r="AF197" i="3"/>
  <c r="AE197" i="3"/>
  <c r="AD197" i="3"/>
  <c r="AB197" i="3"/>
  <c r="AC197" i="3" s="1"/>
  <c r="AA197" i="3"/>
  <c r="AE196" i="3"/>
  <c r="AF196" i="3" s="1"/>
  <c r="AD196" i="3"/>
  <c r="AB196" i="3"/>
  <c r="AC196" i="3" s="1"/>
  <c r="AA196" i="3"/>
  <c r="AF195" i="3"/>
  <c r="AE195" i="3"/>
  <c r="AD195" i="3"/>
  <c r="AB195" i="3"/>
  <c r="AC195" i="3" s="1"/>
  <c r="AA195" i="3"/>
  <c r="AE194" i="3"/>
  <c r="AF194" i="3" s="1"/>
  <c r="AD194" i="3"/>
  <c r="AB194" i="3"/>
  <c r="AC194" i="3" s="1"/>
  <c r="AA194" i="3"/>
  <c r="AF193" i="3"/>
  <c r="AE193" i="3"/>
  <c r="AD193" i="3"/>
  <c r="AB193" i="3"/>
  <c r="AC193" i="3" s="1"/>
  <c r="AA193" i="3"/>
  <c r="AE192" i="3"/>
  <c r="AF192" i="3" s="1"/>
  <c r="AD192" i="3"/>
  <c r="AB192" i="3"/>
  <c r="AC192" i="3" s="1"/>
  <c r="AA192" i="3"/>
  <c r="AF191" i="3"/>
  <c r="AE191" i="3"/>
  <c r="AD191" i="3"/>
  <c r="AB191" i="3"/>
  <c r="AC191" i="3" s="1"/>
  <c r="AA191" i="3"/>
  <c r="AE190" i="3"/>
  <c r="AF190" i="3" s="1"/>
  <c r="AD190" i="3"/>
  <c r="AB190" i="3"/>
  <c r="AC190" i="3" s="1"/>
  <c r="AA190" i="3"/>
  <c r="AF189" i="3"/>
  <c r="AE189" i="3"/>
  <c r="AD189" i="3"/>
  <c r="AB189" i="3"/>
  <c r="AC189" i="3" s="1"/>
  <c r="AA189" i="3"/>
  <c r="AE188" i="3"/>
  <c r="AF188" i="3" s="1"/>
  <c r="AD188" i="3"/>
  <c r="AB188" i="3"/>
  <c r="AC188" i="3" s="1"/>
  <c r="AA188" i="3"/>
  <c r="AF187" i="3"/>
  <c r="AE187" i="3"/>
  <c r="AD187" i="3"/>
  <c r="AB187" i="3"/>
  <c r="AC187" i="3" s="1"/>
  <c r="AA187" i="3"/>
  <c r="AE186" i="3"/>
  <c r="AF186" i="3" s="1"/>
  <c r="AD186" i="3"/>
  <c r="AB186" i="3"/>
  <c r="AC186" i="3" s="1"/>
  <c r="AA186" i="3"/>
  <c r="AF185" i="3"/>
  <c r="AE185" i="3"/>
  <c r="AD185" i="3"/>
  <c r="AB185" i="3"/>
  <c r="AC185" i="3" s="1"/>
  <c r="AA185" i="3"/>
  <c r="AE184" i="3"/>
  <c r="AF184" i="3" s="1"/>
  <c r="AD184" i="3"/>
  <c r="AB184" i="3"/>
  <c r="AC184" i="3" s="1"/>
  <c r="AA184" i="3"/>
  <c r="AF183" i="3"/>
  <c r="AE183" i="3"/>
  <c r="AD183" i="3"/>
  <c r="AB183" i="3"/>
  <c r="AC183" i="3" s="1"/>
  <c r="AA183" i="3"/>
  <c r="AE182" i="3"/>
  <c r="AF182" i="3" s="1"/>
  <c r="AD182" i="3"/>
  <c r="AB182" i="3"/>
  <c r="AC182" i="3" s="1"/>
  <c r="AA182" i="3"/>
  <c r="AF181" i="3"/>
  <c r="AE181" i="3"/>
  <c r="AD181" i="3"/>
  <c r="AB181" i="3"/>
  <c r="AC181" i="3" s="1"/>
  <c r="AA181" i="3"/>
  <c r="AE180" i="3"/>
  <c r="AF180" i="3" s="1"/>
  <c r="AD180" i="3"/>
  <c r="AB180" i="3"/>
  <c r="AC180" i="3" s="1"/>
  <c r="AA180" i="3"/>
  <c r="AF179" i="3"/>
  <c r="AE179" i="3"/>
  <c r="AD179" i="3"/>
  <c r="AB179" i="3"/>
  <c r="AC179" i="3" s="1"/>
  <c r="AA179" i="3"/>
  <c r="AE178" i="3"/>
  <c r="AF178" i="3" s="1"/>
  <c r="AD178" i="3"/>
  <c r="AB178" i="3"/>
  <c r="AC178" i="3" s="1"/>
  <c r="AA178" i="3"/>
  <c r="AF177" i="3"/>
  <c r="AE177" i="3"/>
  <c r="AD177" i="3"/>
  <c r="AB177" i="3"/>
  <c r="AC177" i="3" s="1"/>
  <c r="AA177" i="3"/>
  <c r="AE176" i="3"/>
  <c r="AF176" i="3" s="1"/>
  <c r="AD176" i="3"/>
  <c r="AB176" i="3"/>
  <c r="AC176" i="3" s="1"/>
  <c r="AA176" i="3"/>
  <c r="AF175" i="3"/>
  <c r="AE175" i="3"/>
  <c r="AD175" i="3"/>
  <c r="AB175" i="3"/>
  <c r="AC175" i="3" s="1"/>
  <c r="AA175" i="3"/>
  <c r="AE174" i="3"/>
  <c r="AF174" i="3" s="1"/>
  <c r="AD174" i="3"/>
  <c r="AB174" i="3"/>
  <c r="AC174" i="3" s="1"/>
  <c r="AA174" i="3"/>
  <c r="AF173" i="3"/>
  <c r="AE173" i="3"/>
  <c r="AD173" i="3"/>
  <c r="AB173" i="3"/>
  <c r="AC173" i="3" s="1"/>
  <c r="AA173" i="3"/>
  <c r="AE172" i="3"/>
  <c r="AF172" i="3" s="1"/>
  <c r="AD172" i="3"/>
  <c r="AB172" i="3"/>
  <c r="AC172" i="3" s="1"/>
  <c r="AA172" i="3"/>
  <c r="AF171" i="3"/>
  <c r="AE171" i="3"/>
  <c r="AD171" i="3"/>
  <c r="AB171" i="3"/>
  <c r="AC171" i="3" s="1"/>
  <c r="AA171" i="3"/>
  <c r="AE170" i="3"/>
  <c r="AF170" i="3" s="1"/>
  <c r="AD170" i="3"/>
  <c r="AB170" i="3"/>
  <c r="AC170" i="3" s="1"/>
  <c r="AA170" i="3"/>
  <c r="AF169" i="3"/>
  <c r="AE169" i="3"/>
  <c r="AD169" i="3"/>
  <c r="AB169" i="3"/>
  <c r="AC169" i="3" s="1"/>
  <c r="AA169" i="3"/>
  <c r="AE168" i="3"/>
  <c r="AF168" i="3" s="1"/>
  <c r="AD168" i="3"/>
  <c r="AB168" i="3"/>
  <c r="AC168" i="3" s="1"/>
  <c r="AA168" i="3"/>
  <c r="AF167" i="3"/>
  <c r="AE167" i="3"/>
  <c r="AD167" i="3"/>
  <c r="AB167" i="3"/>
  <c r="AC167" i="3" s="1"/>
  <c r="AA167" i="3"/>
  <c r="AE166" i="3"/>
  <c r="AF166" i="3" s="1"/>
  <c r="AD166" i="3"/>
  <c r="AB166" i="3"/>
  <c r="AC166" i="3" s="1"/>
  <c r="AA166" i="3"/>
  <c r="AF165" i="3"/>
  <c r="AE165" i="3"/>
  <c r="AD165" i="3"/>
  <c r="AB165" i="3"/>
  <c r="AC165" i="3" s="1"/>
  <c r="AA165" i="3"/>
  <c r="AE164" i="3"/>
  <c r="AF164" i="3" s="1"/>
  <c r="AD164" i="3"/>
  <c r="AB164" i="3"/>
  <c r="AC164" i="3" s="1"/>
  <c r="AA164" i="3"/>
  <c r="AF163" i="3"/>
  <c r="AE163" i="3"/>
  <c r="AD163" i="3"/>
  <c r="AB163" i="3"/>
  <c r="AC163" i="3" s="1"/>
  <c r="AA163" i="3"/>
  <c r="AE162" i="3"/>
  <c r="AF162" i="3" s="1"/>
  <c r="AD162" i="3"/>
  <c r="AB162" i="3"/>
  <c r="AC162" i="3" s="1"/>
  <c r="AA162" i="3"/>
  <c r="AF161" i="3"/>
  <c r="AE161" i="3"/>
  <c r="AD161" i="3"/>
  <c r="AB161" i="3"/>
  <c r="AC161" i="3" s="1"/>
  <c r="AA161" i="3"/>
  <c r="AE160" i="3"/>
  <c r="AF160" i="3" s="1"/>
  <c r="AD160" i="3"/>
  <c r="AB160" i="3"/>
  <c r="AC160" i="3" s="1"/>
  <c r="AA160" i="3"/>
  <c r="AF159" i="3"/>
  <c r="AE159" i="3"/>
  <c r="AD159" i="3"/>
  <c r="AB159" i="3"/>
  <c r="AC159" i="3" s="1"/>
  <c r="AA159" i="3"/>
  <c r="AE158" i="3"/>
  <c r="AF158" i="3" s="1"/>
  <c r="AD158" i="3"/>
  <c r="AB158" i="3"/>
  <c r="AC158" i="3" s="1"/>
  <c r="AA158" i="3"/>
  <c r="AF157" i="3"/>
  <c r="AE157" i="3"/>
  <c r="AD157" i="3"/>
  <c r="AB157" i="3"/>
  <c r="AC157" i="3" s="1"/>
  <c r="AA157" i="3"/>
  <c r="AE156" i="3"/>
  <c r="AF156" i="3" s="1"/>
  <c r="AD156" i="3"/>
  <c r="AB156" i="3"/>
  <c r="AC156" i="3" s="1"/>
  <c r="AA156" i="3"/>
  <c r="AF155" i="3"/>
  <c r="AE155" i="3"/>
  <c r="AD155" i="3"/>
  <c r="AB155" i="3"/>
  <c r="AC155" i="3" s="1"/>
  <c r="AA155" i="3"/>
  <c r="AE154" i="3"/>
  <c r="AF154" i="3" s="1"/>
  <c r="AD154" i="3"/>
  <c r="AB154" i="3"/>
  <c r="AC154" i="3" s="1"/>
  <c r="AA154" i="3"/>
  <c r="AF153" i="3"/>
  <c r="AE153" i="3"/>
  <c r="AD153" i="3"/>
  <c r="AB153" i="3"/>
  <c r="AC153" i="3" s="1"/>
  <c r="AA153" i="3"/>
  <c r="AE152" i="3"/>
  <c r="AF152" i="3" s="1"/>
  <c r="AD152" i="3"/>
  <c r="AB152" i="3"/>
  <c r="AC152" i="3" s="1"/>
  <c r="AA152" i="3"/>
  <c r="AF151" i="3"/>
  <c r="AE151" i="3"/>
  <c r="AD151" i="3"/>
  <c r="AB151" i="3"/>
  <c r="AC151" i="3" s="1"/>
  <c r="AA151" i="3"/>
  <c r="AE150" i="3"/>
  <c r="AF150" i="3" s="1"/>
  <c r="AD150" i="3"/>
  <c r="AB150" i="3"/>
  <c r="AC150" i="3" s="1"/>
  <c r="AA150" i="3"/>
  <c r="AF149" i="3"/>
  <c r="AE149" i="3"/>
  <c r="AD149" i="3"/>
  <c r="AB149" i="3"/>
  <c r="AC149" i="3" s="1"/>
  <c r="AA149" i="3"/>
  <c r="AE148" i="3"/>
  <c r="AF148" i="3" s="1"/>
  <c r="AD148" i="3"/>
  <c r="AB148" i="3"/>
  <c r="AC148" i="3" s="1"/>
  <c r="AA148" i="3"/>
  <c r="AF147" i="3"/>
  <c r="AE147" i="3"/>
  <c r="AD147" i="3"/>
  <c r="AB147" i="3"/>
  <c r="AC147" i="3" s="1"/>
  <c r="AA147" i="3"/>
  <c r="AE146" i="3"/>
  <c r="AF146" i="3" s="1"/>
  <c r="AD146" i="3"/>
  <c r="AB146" i="3"/>
  <c r="AC146" i="3" s="1"/>
  <c r="AA146" i="3"/>
  <c r="AF145" i="3"/>
  <c r="AE145" i="3"/>
  <c r="AD145" i="3"/>
  <c r="AB145" i="3"/>
  <c r="AC145" i="3" s="1"/>
  <c r="AA145" i="3"/>
  <c r="AE144" i="3"/>
  <c r="AF144" i="3" s="1"/>
  <c r="AD144" i="3"/>
  <c r="AB144" i="3"/>
  <c r="AC144" i="3" s="1"/>
  <c r="AA144" i="3"/>
  <c r="AF143" i="3"/>
  <c r="AE143" i="3"/>
  <c r="AD143" i="3"/>
  <c r="AB143" i="3"/>
  <c r="AC143" i="3" s="1"/>
  <c r="AA143" i="3"/>
  <c r="AE142" i="3"/>
  <c r="AF142" i="3" s="1"/>
  <c r="AD142" i="3"/>
  <c r="AB142" i="3"/>
  <c r="AC142" i="3" s="1"/>
  <c r="AA142" i="3"/>
  <c r="AF141" i="3"/>
  <c r="AE141" i="3"/>
  <c r="AD141" i="3"/>
  <c r="AB141" i="3"/>
  <c r="AC141" i="3" s="1"/>
  <c r="AA141" i="3"/>
  <c r="AE140" i="3"/>
  <c r="AF140" i="3" s="1"/>
  <c r="AD140" i="3"/>
  <c r="AB140" i="3"/>
  <c r="AC140" i="3" s="1"/>
  <c r="AA140" i="3"/>
  <c r="AF139" i="3"/>
  <c r="AE139" i="3"/>
  <c r="AD139" i="3"/>
  <c r="AB139" i="3"/>
  <c r="AC139" i="3" s="1"/>
  <c r="AA139" i="3"/>
  <c r="AE138" i="3"/>
  <c r="AF138" i="3" s="1"/>
  <c r="AD138" i="3"/>
  <c r="AB138" i="3"/>
  <c r="AC138" i="3" s="1"/>
  <c r="AA138" i="3"/>
  <c r="AF137" i="3"/>
  <c r="AE137" i="3"/>
  <c r="AD137" i="3"/>
  <c r="AB137" i="3"/>
  <c r="AC137" i="3" s="1"/>
  <c r="AA137" i="3"/>
  <c r="AE136" i="3"/>
  <c r="AF136" i="3" s="1"/>
  <c r="AD136" i="3"/>
  <c r="AB136" i="3"/>
  <c r="AC136" i="3" s="1"/>
  <c r="AA136" i="3"/>
  <c r="AF135" i="3"/>
  <c r="AE135" i="3"/>
  <c r="AD135" i="3"/>
  <c r="AB135" i="3"/>
  <c r="AC135" i="3" s="1"/>
  <c r="AA135" i="3"/>
  <c r="AE134" i="3"/>
  <c r="AF134" i="3" s="1"/>
  <c r="AD134" i="3"/>
  <c r="AB134" i="3"/>
  <c r="AC134" i="3" s="1"/>
  <c r="AA134" i="3"/>
  <c r="AF133" i="3"/>
  <c r="AE133" i="3"/>
  <c r="AD133" i="3"/>
  <c r="AB133" i="3"/>
  <c r="AC133" i="3" s="1"/>
  <c r="AA133" i="3"/>
  <c r="AE132" i="3"/>
  <c r="AF132" i="3" s="1"/>
  <c r="AD132" i="3"/>
  <c r="AB132" i="3"/>
  <c r="AC132" i="3" s="1"/>
  <c r="AA132" i="3"/>
  <c r="AF131" i="3"/>
  <c r="AE131" i="3"/>
  <c r="AD131" i="3"/>
  <c r="AB131" i="3"/>
  <c r="AC131" i="3" s="1"/>
  <c r="AA131" i="3"/>
  <c r="AE130" i="3"/>
  <c r="AF130" i="3" s="1"/>
  <c r="AD130" i="3"/>
  <c r="AB130" i="3"/>
  <c r="AC130" i="3" s="1"/>
  <c r="AA130" i="3"/>
  <c r="AF129" i="3"/>
  <c r="AE129" i="3"/>
  <c r="AD129" i="3"/>
  <c r="AB129" i="3"/>
  <c r="AC129" i="3" s="1"/>
  <c r="AA129" i="3"/>
  <c r="AE128" i="3"/>
  <c r="AF128" i="3" s="1"/>
  <c r="AD128" i="3"/>
  <c r="AB128" i="3"/>
  <c r="AC128" i="3" s="1"/>
  <c r="AA128" i="3"/>
  <c r="AF127" i="3"/>
  <c r="AE127" i="3"/>
  <c r="AD127" i="3"/>
  <c r="AB127" i="3"/>
  <c r="AC127" i="3" s="1"/>
  <c r="AA127" i="3"/>
  <c r="AE126" i="3"/>
  <c r="AF126" i="3" s="1"/>
  <c r="AD126" i="3"/>
  <c r="AB126" i="3"/>
  <c r="AC126" i="3" s="1"/>
  <c r="AA126" i="3"/>
  <c r="AF125" i="3"/>
  <c r="AE125" i="3"/>
  <c r="AD125" i="3"/>
  <c r="AB125" i="3"/>
  <c r="AC125" i="3" s="1"/>
  <c r="AA125" i="3"/>
  <c r="AE124" i="3"/>
  <c r="AF124" i="3" s="1"/>
  <c r="AD124" i="3"/>
  <c r="AB124" i="3"/>
  <c r="AC124" i="3" s="1"/>
  <c r="AA124" i="3"/>
  <c r="AF123" i="3"/>
  <c r="AE123" i="3"/>
  <c r="AD123" i="3"/>
  <c r="AB123" i="3"/>
  <c r="AC123" i="3" s="1"/>
  <c r="AA123" i="3"/>
  <c r="AE122" i="3"/>
  <c r="AF122" i="3" s="1"/>
  <c r="AD122" i="3"/>
  <c r="AB122" i="3"/>
  <c r="AC122" i="3" s="1"/>
  <c r="AA122" i="3"/>
  <c r="AF121" i="3"/>
  <c r="AE121" i="3"/>
  <c r="AD121" i="3"/>
  <c r="AB121" i="3"/>
  <c r="AC121" i="3" s="1"/>
  <c r="AA121" i="3"/>
  <c r="AE120" i="3"/>
  <c r="AF120" i="3" s="1"/>
  <c r="AD120" i="3"/>
  <c r="AB120" i="3"/>
  <c r="AC120" i="3" s="1"/>
  <c r="AA120" i="3"/>
  <c r="AF119" i="3"/>
  <c r="AE119" i="3"/>
  <c r="AD119" i="3"/>
  <c r="AB119" i="3"/>
  <c r="AC119" i="3" s="1"/>
  <c r="AA119" i="3"/>
  <c r="AE118" i="3"/>
  <c r="AF118" i="3" s="1"/>
  <c r="AD118" i="3"/>
  <c r="AB118" i="3"/>
  <c r="AC118" i="3" s="1"/>
  <c r="AA118" i="3"/>
  <c r="AF117" i="3"/>
  <c r="AE117" i="3"/>
  <c r="AD117" i="3"/>
  <c r="AB117" i="3"/>
  <c r="AC117" i="3" s="1"/>
  <c r="AA117" i="3"/>
  <c r="AE116" i="3"/>
  <c r="AF116" i="3" s="1"/>
  <c r="AD116" i="3"/>
  <c r="AB116" i="3"/>
  <c r="AC116" i="3" s="1"/>
  <c r="AA116" i="3"/>
  <c r="AF115" i="3"/>
  <c r="AE115" i="3"/>
  <c r="AD115" i="3"/>
  <c r="AB115" i="3"/>
  <c r="AC115" i="3" s="1"/>
  <c r="AA115" i="3"/>
  <c r="AE114" i="3"/>
  <c r="AF114" i="3" s="1"/>
  <c r="AD114" i="3"/>
  <c r="AB114" i="3"/>
  <c r="AC114" i="3" s="1"/>
  <c r="AA114" i="3"/>
  <c r="AF113" i="3"/>
  <c r="AE113" i="3"/>
  <c r="AD113" i="3"/>
  <c r="AB113" i="3"/>
  <c r="AC113" i="3" s="1"/>
  <c r="AA113" i="3"/>
  <c r="AE112" i="3"/>
  <c r="AF112" i="3" s="1"/>
  <c r="AD112" i="3"/>
  <c r="AB112" i="3"/>
  <c r="AC112" i="3" s="1"/>
  <c r="AA112" i="3"/>
  <c r="AF111" i="3"/>
  <c r="AE111" i="3"/>
  <c r="AD111" i="3"/>
  <c r="AB111" i="3"/>
  <c r="AC111" i="3" s="1"/>
  <c r="AA111" i="3"/>
  <c r="AE110" i="3"/>
  <c r="AF110" i="3" s="1"/>
  <c r="AD110" i="3"/>
  <c r="AB110" i="3"/>
  <c r="AC110" i="3" s="1"/>
  <c r="AA110" i="3"/>
  <c r="AF109" i="3"/>
  <c r="AE109" i="3"/>
  <c r="AD109" i="3"/>
  <c r="AB109" i="3"/>
  <c r="AC109" i="3" s="1"/>
  <c r="AA109" i="3"/>
  <c r="AE108" i="3"/>
  <c r="AF108" i="3" s="1"/>
  <c r="AD108" i="3"/>
  <c r="AB108" i="3"/>
  <c r="AC108" i="3" s="1"/>
  <c r="AA108" i="3"/>
  <c r="AF107" i="3"/>
  <c r="AE107" i="3"/>
  <c r="AD107" i="3"/>
  <c r="AB107" i="3"/>
  <c r="AC107" i="3" s="1"/>
  <c r="AA107" i="3"/>
  <c r="AE106" i="3"/>
  <c r="AF106" i="3" s="1"/>
  <c r="AD106" i="3"/>
  <c r="AB106" i="3"/>
  <c r="AC106" i="3" s="1"/>
  <c r="AA106" i="3"/>
  <c r="AF105" i="3"/>
  <c r="AE105" i="3"/>
  <c r="AD105" i="3"/>
  <c r="AB105" i="3"/>
  <c r="AC105" i="3" s="1"/>
  <c r="AA105" i="3"/>
  <c r="AE104" i="3"/>
  <c r="AF104" i="3" s="1"/>
  <c r="AD104" i="3"/>
  <c r="AB104" i="3"/>
  <c r="AC104" i="3" s="1"/>
  <c r="AA104" i="3"/>
  <c r="AF103" i="3"/>
  <c r="AE103" i="3"/>
  <c r="AD103" i="3"/>
  <c r="AB103" i="3"/>
  <c r="AC103" i="3" s="1"/>
  <c r="AA103" i="3"/>
  <c r="AE102" i="3"/>
  <c r="AF102" i="3" s="1"/>
  <c r="AD102" i="3"/>
  <c r="AB102" i="3"/>
  <c r="AC102" i="3" s="1"/>
  <c r="AA102" i="3"/>
  <c r="AF101" i="3"/>
  <c r="AE101" i="3"/>
  <c r="AD101" i="3"/>
  <c r="AB101" i="3"/>
  <c r="AC101" i="3" s="1"/>
  <c r="AA101" i="3"/>
  <c r="AE100" i="3"/>
  <c r="AF100" i="3" s="1"/>
  <c r="AD100" i="3"/>
  <c r="AB100" i="3"/>
  <c r="AC100" i="3" s="1"/>
  <c r="AA100" i="3"/>
  <c r="AF99" i="3"/>
  <c r="AE99" i="3"/>
  <c r="AD99" i="3"/>
  <c r="AB99" i="3"/>
  <c r="AC99" i="3" s="1"/>
  <c r="AA99" i="3"/>
  <c r="AE98" i="3"/>
  <c r="AF98" i="3" s="1"/>
  <c r="AD98" i="3"/>
  <c r="AB98" i="3"/>
  <c r="AC98" i="3" s="1"/>
  <c r="AA98" i="3"/>
  <c r="AF97" i="3"/>
  <c r="AE97" i="3"/>
  <c r="AD97" i="3"/>
  <c r="AB97" i="3"/>
  <c r="AC97" i="3" s="1"/>
  <c r="AA97" i="3"/>
  <c r="AE96" i="3"/>
  <c r="AF96" i="3" s="1"/>
  <c r="AD96" i="3"/>
  <c r="AB96" i="3"/>
  <c r="AC96" i="3" s="1"/>
  <c r="AA96" i="3"/>
  <c r="AF95" i="3"/>
  <c r="AE95" i="3"/>
  <c r="AD95" i="3"/>
  <c r="AB95" i="3"/>
  <c r="AC95" i="3" s="1"/>
  <c r="AA95" i="3"/>
  <c r="AE94" i="3"/>
  <c r="AF94" i="3" s="1"/>
  <c r="AD94" i="3"/>
  <c r="AB94" i="3"/>
  <c r="AC94" i="3" s="1"/>
  <c r="AA94" i="3"/>
  <c r="AF93" i="3"/>
  <c r="AE93" i="3"/>
  <c r="AD93" i="3"/>
  <c r="AB93" i="3"/>
  <c r="AC93" i="3" s="1"/>
  <c r="AA93" i="3"/>
  <c r="AE92" i="3"/>
  <c r="AF92" i="3" s="1"/>
  <c r="AD92" i="3"/>
  <c r="AB92" i="3"/>
  <c r="AC92" i="3" s="1"/>
  <c r="AA92" i="3"/>
  <c r="AF91" i="3"/>
  <c r="AE91" i="3"/>
  <c r="AD91" i="3"/>
  <c r="AB91" i="3"/>
  <c r="AC91" i="3" s="1"/>
  <c r="AA91" i="3"/>
  <c r="AE90" i="3"/>
  <c r="AF90" i="3" s="1"/>
  <c r="AD90" i="3"/>
  <c r="AB90" i="3"/>
  <c r="AC90" i="3" s="1"/>
  <c r="AA90" i="3"/>
  <c r="AF89" i="3"/>
  <c r="AE89" i="3"/>
  <c r="AD89" i="3"/>
  <c r="AB89" i="3"/>
  <c r="AC89" i="3" s="1"/>
  <c r="AA89" i="3"/>
  <c r="AE88" i="3"/>
  <c r="AF88" i="3" s="1"/>
  <c r="AD88" i="3"/>
  <c r="AB88" i="3"/>
  <c r="AC88" i="3" s="1"/>
  <c r="AA88" i="3"/>
  <c r="AF87" i="3"/>
  <c r="AE87" i="3"/>
  <c r="AD87" i="3"/>
  <c r="AB87" i="3"/>
  <c r="AC87" i="3" s="1"/>
  <c r="AA87" i="3"/>
  <c r="AE86" i="3"/>
  <c r="AF86" i="3" s="1"/>
  <c r="AD86" i="3"/>
  <c r="AB86" i="3"/>
  <c r="AC86" i="3" s="1"/>
  <c r="AA86" i="3"/>
  <c r="AF85" i="3"/>
  <c r="AE85" i="3"/>
  <c r="AD85" i="3"/>
  <c r="AB85" i="3"/>
  <c r="AC85" i="3" s="1"/>
  <c r="AA85" i="3"/>
  <c r="AE84" i="3"/>
  <c r="AF84" i="3" s="1"/>
  <c r="AD84" i="3"/>
  <c r="AB84" i="3"/>
  <c r="AC84" i="3" s="1"/>
  <c r="AA84" i="3"/>
  <c r="AF83" i="3"/>
  <c r="AE83" i="3"/>
  <c r="AD83" i="3"/>
  <c r="AB83" i="3"/>
  <c r="AC83" i="3" s="1"/>
  <c r="AA83" i="3"/>
  <c r="AE82" i="3"/>
  <c r="AF82" i="3" s="1"/>
  <c r="AD82" i="3"/>
  <c r="AB82" i="3"/>
  <c r="AC82" i="3" s="1"/>
  <c r="AA82" i="3"/>
  <c r="AF81" i="3"/>
  <c r="AE81" i="3"/>
  <c r="AD81" i="3"/>
  <c r="AB81" i="3"/>
  <c r="AC81" i="3" s="1"/>
  <c r="AA81" i="3"/>
  <c r="AE80" i="3"/>
  <c r="AF80" i="3" s="1"/>
  <c r="AD80" i="3"/>
  <c r="AB80" i="3"/>
  <c r="AC80" i="3" s="1"/>
  <c r="AA80" i="3"/>
  <c r="AF79" i="3"/>
  <c r="AE79" i="3"/>
  <c r="AD79" i="3"/>
  <c r="AB79" i="3"/>
  <c r="AC79" i="3" s="1"/>
  <c r="AA79" i="3"/>
  <c r="AE78" i="3"/>
  <c r="AF78" i="3" s="1"/>
  <c r="AD78" i="3"/>
  <c r="AB78" i="3"/>
  <c r="AC78" i="3" s="1"/>
  <c r="AA78" i="3"/>
  <c r="AF77" i="3"/>
  <c r="AE77" i="3"/>
  <c r="AD77" i="3"/>
  <c r="AB77" i="3"/>
  <c r="AC77" i="3" s="1"/>
  <c r="AA77" i="3"/>
  <c r="AE76" i="3"/>
  <c r="AF76" i="3" s="1"/>
  <c r="AD76" i="3"/>
  <c r="AB76" i="3"/>
  <c r="AC76" i="3" s="1"/>
  <c r="AA76" i="3"/>
  <c r="AF75" i="3"/>
  <c r="AE75" i="3"/>
  <c r="AD75" i="3"/>
  <c r="AB75" i="3"/>
  <c r="AC75" i="3" s="1"/>
  <c r="AA75" i="3"/>
  <c r="AE74" i="3"/>
  <c r="AF74" i="3" s="1"/>
  <c r="AD74" i="3"/>
  <c r="AB74" i="3"/>
  <c r="AC74" i="3" s="1"/>
  <c r="AA74" i="3"/>
  <c r="AF73" i="3"/>
  <c r="AE73" i="3"/>
  <c r="AD73" i="3"/>
  <c r="AB73" i="3"/>
  <c r="AC73" i="3" s="1"/>
  <c r="AA73" i="3"/>
  <c r="AE72" i="3"/>
  <c r="AF72" i="3" s="1"/>
  <c r="AD72" i="3"/>
  <c r="AB72" i="3"/>
  <c r="AC72" i="3" s="1"/>
  <c r="AA72" i="3"/>
  <c r="AF71" i="3"/>
  <c r="AE71" i="3"/>
  <c r="AD71" i="3"/>
  <c r="AB71" i="3"/>
  <c r="AC71" i="3" s="1"/>
  <c r="AA71" i="3"/>
  <c r="AE70" i="3"/>
  <c r="AF70" i="3" s="1"/>
  <c r="AD70" i="3"/>
  <c r="AB70" i="3"/>
  <c r="AC70" i="3" s="1"/>
  <c r="AA70" i="3"/>
  <c r="AF69" i="3"/>
  <c r="AE69" i="3"/>
  <c r="AD69" i="3"/>
  <c r="AB69" i="3"/>
  <c r="AC69" i="3" s="1"/>
  <c r="AA69" i="3"/>
  <c r="AE68" i="3"/>
  <c r="AF68" i="3" s="1"/>
  <c r="AD68" i="3"/>
  <c r="AB68" i="3"/>
  <c r="AC68" i="3" s="1"/>
  <c r="AA68" i="3"/>
  <c r="AF67" i="3"/>
  <c r="AE67" i="3"/>
  <c r="AD67" i="3"/>
  <c r="AB67" i="3"/>
  <c r="AC67" i="3" s="1"/>
  <c r="AA67" i="3"/>
  <c r="AE66" i="3"/>
  <c r="AF66" i="3" s="1"/>
  <c r="AD66" i="3"/>
  <c r="AB66" i="3"/>
  <c r="AC66" i="3" s="1"/>
  <c r="AA66" i="3"/>
  <c r="AF65" i="3"/>
  <c r="AE65" i="3"/>
  <c r="AD65" i="3"/>
  <c r="AB65" i="3"/>
  <c r="AC65" i="3" s="1"/>
  <c r="AA65" i="3"/>
  <c r="AE64" i="3"/>
  <c r="AF64" i="3" s="1"/>
  <c r="AD64" i="3"/>
  <c r="AB64" i="3"/>
  <c r="AC64" i="3" s="1"/>
  <c r="AA64" i="3"/>
  <c r="AF63" i="3"/>
  <c r="AE63" i="3"/>
  <c r="AD63" i="3"/>
  <c r="AB63" i="3"/>
  <c r="AC63" i="3" s="1"/>
  <c r="AA63" i="3"/>
  <c r="AE62" i="3"/>
  <c r="AF62" i="3" s="1"/>
  <c r="AD62" i="3"/>
  <c r="AB62" i="3"/>
  <c r="AC62" i="3" s="1"/>
  <c r="AA62" i="3"/>
  <c r="AF61" i="3"/>
  <c r="AE61" i="3"/>
  <c r="AD61" i="3"/>
  <c r="AB61" i="3"/>
  <c r="AC61" i="3" s="1"/>
  <c r="AA61" i="3"/>
  <c r="AE60" i="3"/>
  <c r="AF60" i="3" s="1"/>
  <c r="AD60" i="3"/>
  <c r="AB60" i="3"/>
  <c r="AC60" i="3" s="1"/>
  <c r="AA60" i="3"/>
  <c r="AF59" i="3"/>
  <c r="AE59" i="3"/>
  <c r="AD59" i="3"/>
  <c r="AB59" i="3"/>
  <c r="AC59" i="3" s="1"/>
  <c r="AA59" i="3"/>
  <c r="AE58" i="3"/>
  <c r="AF58" i="3" s="1"/>
  <c r="AD58" i="3"/>
  <c r="AB58" i="3"/>
  <c r="AC58" i="3" s="1"/>
  <c r="AA58" i="3"/>
  <c r="AF57" i="3"/>
  <c r="AE57" i="3"/>
  <c r="AD57" i="3"/>
  <c r="AB57" i="3"/>
  <c r="AC57" i="3" s="1"/>
  <c r="AA57" i="3"/>
  <c r="AE56" i="3"/>
  <c r="AF56" i="3" s="1"/>
  <c r="AD56" i="3"/>
  <c r="AB56" i="3"/>
  <c r="AC56" i="3" s="1"/>
  <c r="AA56" i="3"/>
  <c r="AF55" i="3"/>
  <c r="AE55" i="3"/>
  <c r="AD55" i="3"/>
  <c r="AB55" i="3"/>
  <c r="AC55" i="3" s="1"/>
  <c r="AA55" i="3"/>
  <c r="AE54" i="3"/>
  <c r="AF54" i="3" s="1"/>
  <c r="AD54" i="3"/>
  <c r="AB54" i="3"/>
  <c r="AC54" i="3" s="1"/>
  <c r="AA54" i="3"/>
  <c r="AF53" i="3"/>
  <c r="AE53" i="3"/>
  <c r="AD53" i="3"/>
  <c r="AB53" i="3"/>
  <c r="AC53" i="3" s="1"/>
  <c r="AA53" i="3"/>
  <c r="AE52" i="3"/>
  <c r="AF52" i="3" s="1"/>
  <c r="AD52" i="3"/>
  <c r="AB52" i="3"/>
  <c r="AC52" i="3" s="1"/>
  <c r="AA52" i="3"/>
  <c r="AF51" i="3"/>
  <c r="AE51" i="3"/>
  <c r="AD51" i="3"/>
  <c r="AB51" i="3"/>
  <c r="AC51" i="3" s="1"/>
  <c r="AA51" i="3"/>
  <c r="AE50" i="3"/>
  <c r="AF50" i="3" s="1"/>
  <c r="AD50" i="3"/>
  <c r="AB50" i="3"/>
  <c r="AC50" i="3" s="1"/>
  <c r="AA50" i="3"/>
  <c r="AF49" i="3"/>
  <c r="AE49" i="3"/>
  <c r="AD49" i="3"/>
  <c r="AB49" i="3"/>
  <c r="AC49" i="3" s="1"/>
  <c r="AA49" i="3"/>
  <c r="AE48" i="3"/>
  <c r="AF48" i="3" s="1"/>
  <c r="AD48" i="3"/>
  <c r="AB48" i="3"/>
  <c r="AC48" i="3" s="1"/>
  <c r="AA48" i="3"/>
  <c r="AF47" i="3"/>
  <c r="AE47" i="3"/>
  <c r="AD47" i="3"/>
  <c r="AB47" i="3"/>
  <c r="AC47" i="3" s="1"/>
  <c r="AA47" i="3"/>
  <c r="AE46" i="3"/>
  <c r="AF46" i="3" s="1"/>
  <c r="AD46" i="3"/>
  <c r="AB46" i="3"/>
  <c r="AC46" i="3" s="1"/>
  <c r="AA46" i="3"/>
  <c r="AF45" i="3"/>
  <c r="AE45" i="3"/>
  <c r="AD45" i="3"/>
  <c r="AB45" i="3"/>
  <c r="AC45" i="3" s="1"/>
  <c r="AA45" i="3"/>
  <c r="AE44" i="3"/>
  <c r="AF44" i="3" s="1"/>
  <c r="AD44" i="3"/>
  <c r="AB44" i="3"/>
  <c r="AC44" i="3" s="1"/>
  <c r="AA44" i="3"/>
  <c r="AF43" i="3"/>
  <c r="AE43" i="3"/>
  <c r="AD43" i="3"/>
  <c r="AB43" i="3"/>
  <c r="AC43" i="3" s="1"/>
  <c r="AA43" i="3"/>
  <c r="AE42" i="3"/>
  <c r="AF42" i="3" s="1"/>
  <c r="AD42" i="3"/>
  <c r="AB42" i="3"/>
  <c r="AC42" i="3" s="1"/>
  <c r="AA42" i="3"/>
  <c r="AF41" i="3"/>
  <c r="AE41" i="3"/>
  <c r="AD41" i="3"/>
  <c r="AB41" i="3"/>
  <c r="AC41" i="3" s="1"/>
  <c r="AA41" i="3"/>
  <c r="AE40" i="3"/>
  <c r="AF40" i="3" s="1"/>
  <c r="AD40" i="3"/>
  <c r="AB40" i="3"/>
  <c r="AC40" i="3" s="1"/>
  <c r="AA40" i="3"/>
  <c r="AF39" i="3"/>
  <c r="AE39" i="3"/>
  <c r="AD39" i="3"/>
  <c r="AB39" i="3"/>
  <c r="AC39" i="3" s="1"/>
  <c r="AA39" i="3"/>
  <c r="AE38" i="3"/>
  <c r="AF38" i="3" s="1"/>
  <c r="AD38" i="3"/>
  <c r="AB38" i="3"/>
  <c r="AC38" i="3" s="1"/>
  <c r="AA38" i="3"/>
  <c r="AF37" i="3"/>
  <c r="AE37" i="3"/>
  <c r="AD37" i="3"/>
  <c r="AB37" i="3"/>
  <c r="AC37" i="3" s="1"/>
  <c r="AA37" i="3"/>
  <c r="AE36" i="3"/>
  <c r="AF36" i="3" s="1"/>
  <c r="AD36" i="3"/>
  <c r="AB36" i="3"/>
  <c r="AC36" i="3" s="1"/>
  <c r="AA36" i="3"/>
  <c r="AF35" i="3"/>
  <c r="AE35" i="3"/>
  <c r="AD35" i="3"/>
  <c r="AB35" i="3"/>
  <c r="AC35" i="3" s="1"/>
  <c r="AA35" i="3"/>
  <c r="AE34" i="3"/>
  <c r="AD34" i="3"/>
  <c r="AB34" i="3"/>
  <c r="AC34" i="3" s="1"/>
  <c r="AA34" i="3"/>
  <c r="AE33" i="3"/>
  <c r="AD33" i="3"/>
  <c r="AB33" i="3"/>
  <c r="AC33" i="3" s="1"/>
  <c r="AA33" i="3"/>
  <c r="AE32" i="3"/>
  <c r="AD32" i="3"/>
  <c r="AB32" i="3"/>
  <c r="AC32" i="3" s="1"/>
  <c r="AA32" i="3"/>
  <c r="AE31" i="3"/>
  <c r="AD31" i="3"/>
  <c r="AB31" i="3"/>
  <c r="AC31" i="3" s="1"/>
  <c r="AA31" i="3"/>
  <c r="AE30" i="3"/>
  <c r="AD30" i="3"/>
  <c r="AB30" i="3"/>
  <c r="AA30" i="3"/>
  <c r="AE29" i="3"/>
  <c r="AD29" i="3"/>
  <c r="AB29" i="3"/>
  <c r="AA29" i="3"/>
  <c r="AE28" i="3"/>
  <c r="AD28" i="3"/>
  <c r="AB28" i="3"/>
  <c r="AC28" i="3" s="1"/>
  <c r="AA28" i="3"/>
  <c r="AE27" i="3"/>
  <c r="AD27" i="3"/>
  <c r="AB27" i="3"/>
  <c r="AA27" i="3"/>
  <c r="AE26" i="3"/>
  <c r="AD26" i="3"/>
  <c r="AB26" i="3"/>
  <c r="AC26" i="3" s="1"/>
  <c r="AA26" i="3"/>
  <c r="AE25" i="3"/>
  <c r="AD25" i="3"/>
  <c r="AB25" i="3"/>
  <c r="AC25" i="3" s="1"/>
  <c r="AA25" i="3"/>
  <c r="AE24" i="3"/>
  <c r="AD24" i="3"/>
  <c r="AB24" i="3"/>
  <c r="AC24" i="3" s="1"/>
  <c r="AA24" i="3"/>
  <c r="AE23" i="3"/>
  <c r="AD23" i="3"/>
  <c r="AB23" i="3"/>
  <c r="AA23" i="3"/>
  <c r="AE22" i="3"/>
  <c r="AD22" i="3"/>
  <c r="AB22" i="3"/>
  <c r="AC22" i="3" s="1"/>
  <c r="AA22" i="3"/>
  <c r="AE21" i="3"/>
  <c r="AD21" i="3"/>
  <c r="AB21" i="3"/>
  <c r="AA21" i="3"/>
  <c r="AE20" i="3"/>
  <c r="AD20" i="3"/>
  <c r="AB20" i="3"/>
  <c r="AA20" i="3"/>
  <c r="AE19" i="3"/>
  <c r="AD19" i="3"/>
  <c r="AB19" i="3"/>
  <c r="AA19" i="3"/>
  <c r="AE18" i="3"/>
  <c r="AD18" i="3"/>
  <c r="AB18" i="3"/>
  <c r="AA18" i="3"/>
  <c r="AE17" i="3"/>
  <c r="AD17" i="3"/>
  <c r="AB17" i="3"/>
  <c r="AA17" i="3"/>
  <c r="AE16" i="3"/>
  <c r="AD16" i="3"/>
  <c r="AB16" i="3"/>
  <c r="AC16" i="3" s="1"/>
  <c r="AA16" i="3"/>
  <c r="AE15" i="3"/>
  <c r="AD15" i="3"/>
  <c r="AB15" i="3"/>
  <c r="AA15" i="3"/>
  <c r="AE14" i="3"/>
  <c r="AD14" i="3"/>
  <c r="AB14" i="3"/>
  <c r="AC14" i="3" s="1"/>
  <c r="AA14" i="3"/>
  <c r="AE13" i="3"/>
  <c r="AD13" i="3"/>
  <c r="AB13" i="3"/>
  <c r="AA13" i="3"/>
  <c r="AE12" i="3"/>
  <c r="AD12" i="3"/>
  <c r="AB12" i="3"/>
  <c r="AC12" i="3" s="1"/>
  <c r="AA12" i="3"/>
  <c r="AE11" i="3"/>
  <c r="AD11" i="3"/>
  <c r="AB11" i="3"/>
  <c r="AC11" i="3" s="1"/>
  <c r="AA11" i="3"/>
  <c r="AE10" i="3"/>
  <c r="AF10" i="3" s="1"/>
  <c r="AD10" i="3"/>
  <c r="AB10" i="3"/>
  <c r="AC10" i="3" s="1"/>
  <c r="AA10" i="3"/>
  <c r="AE9" i="3"/>
  <c r="AD9" i="3"/>
  <c r="AB9" i="3"/>
  <c r="AA9" i="3"/>
  <c r="AE8" i="3"/>
  <c r="AD8" i="3"/>
  <c r="AB8" i="3"/>
  <c r="AA8" i="3"/>
  <c r="AF7" i="3"/>
  <c r="AE7" i="3"/>
  <c r="AD7" i="3"/>
  <c r="AB7" i="3"/>
  <c r="AC7" i="3" s="1"/>
  <c r="AA7" i="3"/>
  <c r="AE6" i="3"/>
  <c r="AD6" i="3"/>
  <c r="AB6" i="3"/>
  <c r="AA6" i="3"/>
  <c r="AE5" i="3"/>
  <c r="AF29" i="3" s="1"/>
  <c r="AD5" i="3"/>
  <c r="L12" i="4" s="1"/>
  <c r="AB5" i="3"/>
  <c r="AA5" i="3"/>
  <c r="K18" i="2"/>
  <c r="J18" i="2"/>
  <c r="H18" i="2"/>
  <c r="F18" i="2"/>
  <c r="K17" i="2"/>
  <c r="J17" i="2"/>
  <c r="H17" i="2"/>
  <c r="F17" i="2"/>
  <c r="K16" i="2"/>
  <c r="J16" i="2"/>
  <c r="H16" i="2"/>
  <c r="F16" i="2"/>
  <c r="K15" i="2"/>
  <c r="J15" i="2"/>
  <c r="H15" i="2"/>
  <c r="F15" i="2"/>
  <c r="K14" i="2"/>
  <c r="J14" i="2"/>
  <c r="H14" i="2"/>
  <c r="F14" i="2"/>
  <c r="K13" i="2"/>
  <c r="J13" i="2"/>
  <c r="H13" i="2"/>
  <c r="F13" i="2"/>
  <c r="K12" i="2"/>
  <c r="J12" i="2"/>
  <c r="H12" i="2"/>
  <c r="F12" i="2"/>
  <c r="K11" i="2"/>
  <c r="J11" i="2"/>
  <c r="H11" i="2"/>
  <c r="F11" i="2"/>
  <c r="K10" i="2"/>
  <c r="J10" i="2"/>
  <c r="H10" i="2"/>
  <c r="F10" i="2"/>
  <c r="K9" i="2"/>
  <c r="J9" i="2"/>
  <c r="H9" i="2"/>
  <c r="F9" i="2"/>
  <c r="K8" i="2"/>
  <c r="J8" i="2"/>
  <c r="H8" i="2"/>
  <c r="F8" i="2"/>
  <c r="K7" i="2"/>
  <c r="J7" i="2"/>
  <c r="H7" i="2"/>
  <c r="F7" i="2"/>
  <c r="K6" i="2"/>
  <c r="J6" i="2"/>
  <c r="H6" i="2"/>
  <c r="F6" i="2"/>
  <c r="K5" i="2"/>
  <c r="J5" i="2"/>
  <c r="H5" i="2"/>
  <c r="F5" i="2"/>
  <c r="E10" i="1"/>
  <c r="A10" i="1"/>
  <c r="M7" i="1"/>
  <c r="I7" i="1"/>
  <c r="E7" i="1"/>
  <c r="A7" i="1"/>
  <c r="AC29" i="3" l="1"/>
  <c r="AC30" i="3"/>
  <c r="AC21" i="3"/>
  <c r="AC27" i="3"/>
  <c r="AC23" i="3"/>
  <c r="AC20" i="3"/>
  <c r="Q3" i="4"/>
  <c r="AC19" i="3"/>
  <c r="AC18" i="3"/>
  <c r="AC17" i="3"/>
  <c r="I10" i="1"/>
  <c r="T11" i="4"/>
  <c r="AC8" i="3"/>
  <c r="T15" i="4"/>
  <c r="S16" i="4"/>
  <c r="T17" i="4"/>
  <c r="S4" i="4"/>
  <c r="S8" i="4"/>
  <c r="T13" i="4"/>
  <c r="A17" i="1"/>
  <c r="AC13" i="3"/>
  <c r="T3" i="4"/>
  <c r="T7" i="4"/>
  <c r="AC15" i="3"/>
  <c r="T2" i="4"/>
  <c r="Q7" i="4"/>
  <c r="T6" i="4"/>
  <c r="T19" i="4"/>
  <c r="S20" i="4"/>
  <c r="T21" i="4"/>
  <c r="E17" i="1"/>
  <c r="AC6" i="3"/>
  <c r="AF5" i="3"/>
  <c r="AF6" i="3"/>
  <c r="AF11" i="3"/>
  <c r="AF14" i="3"/>
  <c r="AF19" i="3"/>
  <c r="AF22" i="3"/>
  <c r="AF27" i="3"/>
  <c r="AF30" i="3"/>
  <c r="AC5" i="3"/>
  <c r="AF9" i="3"/>
  <c r="AF12" i="3"/>
  <c r="AF17" i="3"/>
  <c r="AF20" i="3"/>
  <c r="AF25" i="3"/>
  <c r="AF28" i="3"/>
  <c r="AF33" i="3"/>
  <c r="AC9" i="3"/>
  <c r="AF15" i="3"/>
  <c r="AF18" i="3"/>
  <c r="AF23" i="3"/>
  <c r="AF26" i="3"/>
  <c r="AF31" i="3"/>
  <c r="AF34" i="3"/>
  <c r="M10" i="1"/>
  <c r="R65" i="1"/>
  <c r="L2" i="4"/>
  <c r="AF8" i="3"/>
  <c r="AF13" i="3"/>
  <c r="AF16" i="3"/>
  <c r="AF21" i="3"/>
  <c r="AF24" i="3"/>
  <c r="AF32" i="3"/>
  <c r="S5" i="4"/>
  <c r="T5" i="4"/>
  <c r="L10" i="4"/>
  <c r="T12" i="4"/>
  <c r="S12" i="4"/>
  <c r="Q4" i="4"/>
  <c r="C7" i="5"/>
  <c r="Q5" i="4"/>
  <c r="Q15" i="4"/>
  <c r="Q21" i="4"/>
  <c r="T10" i="4"/>
  <c r="S10" i="4"/>
  <c r="T14" i="4"/>
  <c r="S14" i="4"/>
  <c r="L13" i="4"/>
  <c r="L11" i="4"/>
  <c r="L9" i="4"/>
  <c r="L7" i="4"/>
  <c r="L5" i="4"/>
  <c r="L3" i="4"/>
  <c r="L8" i="4"/>
  <c r="L4" i="4"/>
  <c r="L6" i="4"/>
  <c r="S9" i="4"/>
  <c r="T9" i="4"/>
  <c r="A7" i="5"/>
  <c r="Q2" i="4"/>
  <c r="Q10" i="4"/>
  <c r="Q12" i="4"/>
  <c r="Q14" i="4"/>
  <c r="S18" i="4"/>
  <c r="Q6" i="4"/>
  <c r="E7" i="5" l="1"/>
  <c r="E30" i="5" s="1"/>
  <c r="A19" i="1"/>
  <c r="G42" i="1" s="1"/>
  <c r="S61" i="1"/>
  <c r="T60" i="1"/>
  <c r="S57" i="1"/>
  <c r="T56" i="1"/>
  <c r="S53" i="1"/>
  <c r="T52" i="1"/>
  <c r="S50" i="1"/>
  <c r="T48" i="1"/>
  <c r="T45" i="1"/>
  <c r="T43" i="1"/>
  <c r="T41" i="1"/>
  <c r="T39" i="1"/>
  <c r="T37" i="1"/>
  <c r="T35" i="1"/>
  <c r="T33" i="1"/>
  <c r="T31" i="1"/>
  <c r="T29" i="1"/>
  <c r="T27" i="1"/>
  <c r="T25" i="1"/>
  <c r="T23" i="1"/>
  <c r="T55" i="1"/>
  <c r="T54" i="1"/>
  <c r="T53" i="1"/>
  <c r="S52" i="1"/>
  <c r="S51" i="1"/>
  <c r="S45" i="1"/>
  <c r="T42" i="1"/>
  <c r="S40" i="1"/>
  <c r="S37" i="1"/>
  <c r="T34" i="1"/>
  <c r="S32" i="1"/>
  <c r="S29" i="1"/>
  <c r="T26" i="1"/>
  <c r="S24" i="1"/>
  <c r="T21" i="1"/>
  <c r="T19" i="1"/>
  <c r="T17" i="1"/>
  <c r="T15" i="1"/>
  <c r="T59" i="1"/>
  <c r="T58" i="1"/>
  <c r="T57" i="1"/>
  <c r="S56" i="1"/>
  <c r="S55" i="1"/>
  <c r="S54" i="1"/>
  <c r="T50" i="1"/>
  <c r="S48" i="1"/>
  <c r="T44" i="1"/>
  <c r="S42" i="1"/>
  <c r="S39" i="1"/>
  <c r="T36" i="1"/>
  <c r="S34" i="1"/>
  <c r="T28" i="1"/>
  <c r="S26" i="1"/>
  <c r="S23" i="1"/>
  <c r="S21" i="1"/>
  <c r="S19" i="1"/>
  <c r="S17" i="1"/>
  <c r="S33" i="1"/>
  <c r="T18" i="1"/>
  <c r="S31" i="1"/>
  <c r="S15" i="1"/>
  <c r="T46" i="1"/>
  <c r="S41" i="1"/>
  <c r="S36" i="1"/>
  <c r="S28" i="1"/>
  <c r="T22" i="1"/>
  <c r="T16" i="1"/>
  <c r="T63" i="1"/>
  <c r="T62" i="1"/>
  <c r="T61" i="1"/>
  <c r="S60" i="1"/>
  <c r="S59" i="1"/>
  <c r="S58" i="1"/>
  <c r="T49" i="1"/>
  <c r="T47" i="1"/>
  <c r="S44" i="1"/>
  <c r="T38" i="1"/>
  <c r="T30" i="1"/>
  <c r="S25" i="1"/>
  <c r="T20" i="1"/>
  <c r="T14" i="1"/>
  <c r="S63" i="1"/>
  <c r="S62" i="1"/>
  <c r="T51" i="1"/>
  <c r="S49" i="1"/>
  <c r="S47" i="1"/>
  <c r="S46" i="1"/>
  <c r="S43" i="1"/>
  <c r="T40" i="1"/>
  <c r="S38" i="1"/>
  <c r="S35" i="1"/>
  <c r="T32" i="1"/>
  <c r="S30" i="1"/>
  <c r="S27" i="1"/>
  <c r="T24" i="1"/>
  <c r="S22" i="1"/>
  <c r="S20" i="1"/>
  <c r="S18" i="1"/>
  <c r="S16" i="1"/>
  <c r="S14" i="1"/>
  <c r="C51" i="6"/>
  <c r="C47" i="6"/>
  <c r="C43" i="6"/>
  <c r="C39" i="6"/>
  <c r="C35" i="6"/>
  <c r="C31" i="6"/>
  <c r="C27" i="6"/>
  <c r="C23" i="6"/>
  <c r="C19" i="6"/>
  <c r="C15" i="6"/>
  <c r="C11" i="6"/>
  <c r="C7" i="6"/>
  <c r="C3" i="6"/>
  <c r="C50" i="6"/>
  <c r="C46" i="6"/>
  <c r="C42" i="6"/>
  <c r="C38" i="6"/>
  <c r="C34" i="6"/>
  <c r="C30" i="6"/>
  <c r="C26" i="6"/>
  <c r="C22" i="6"/>
  <c r="C18" i="6"/>
  <c r="C14" i="6"/>
  <c r="C10" i="6"/>
  <c r="C6" i="6"/>
  <c r="C2" i="6"/>
  <c r="C49" i="6"/>
  <c r="C45" i="6"/>
  <c r="C41" i="6"/>
  <c r="C37" i="6"/>
  <c r="C33" i="6"/>
  <c r="C29" i="6"/>
  <c r="C25" i="6"/>
  <c r="C21" i="6"/>
  <c r="C17" i="6"/>
  <c r="C13" i="6"/>
  <c r="C9" i="6"/>
  <c r="C5" i="6"/>
  <c r="C48" i="6"/>
  <c r="C44" i="6"/>
  <c r="C40" i="6"/>
  <c r="C36" i="6"/>
  <c r="C32" i="6"/>
  <c r="C28" i="6"/>
  <c r="C24" i="6"/>
  <c r="C20" i="6"/>
  <c r="C16" i="6"/>
  <c r="C12" i="6"/>
  <c r="C8" i="6"/>
  <c r="C4" i="6"/>
  <c r="B29" i="5"/>
  <c r="E27" i="5"/>
  <c r="D26" i="5"/>
  <c r="B25" i="5"/>
  <c r="E23" i="5"/>
  <c r="D22" i="5"/>
  <c r="B21" i="5"/>
  <c r="E19" i="5"/>
  <c r="D18" i="5"/>
  <c r="B17" i="5"/>
  <c r="E15" i="5"/>
  <c r="D14" i="5"/>
  <c r="B13" i="5"/>
  <c r="E11" i="5"/>
  <c r="D10" i="5"/>
  <c r="E28" i="5"/>
  <c r="D27" i="5"/>
  <c r="B26" i="5"/>
  <c r="E24" i="5"/>
  <c r="D23" i="5"/>
  <c r="B22" i="5"/>
  <c r="E20" i="5"/>
  <c r="D19" i="5"/>
  <c r="B18" i="5"/>
  <c r="E16" i="5"/>
  <c r="D15" i="5"/>
  <c r="B14" i="5"/>
  <c r="E12" i="5"/>
  <c r="D11" i="5"/>
  <c r="B10" i="5"/>
  <c r="D28" i="5"/>
  <c r="E25" i="5"/>
  <c r="B23" i="5"/>
  <c r="D20" i="5"/>
  <c r="E17" i="5"/>
  <c r="B15" i="5"/>
  <c r="D12" i="5"/>
  <c r="B28" i="5"/>
  <c r="D25" i="5"/>
  <c r="E22" i="5"/>
  <c r="B20" i="5"/>
  <c r="D17" i="5"/>
  <c r="E14" i="5"/>
  <c r="B12" i="5"/>
  <c r="E29" i="5"/>
  <c r="B27" i="5"/>
  <c r="D24" i="5"/>
  <c r="E21" i="5"/>
  <c r="B19" i="5"/>
  <c r="D16" i="5"/>
  <c r="E13" i="5"/>
  <c r="B11" i="5"/>
  <c r="D29" i="5"/>
  <c r="E26" i="5"/>
  <c r="B24" i="5"/>
  <c r="D21" i="5"/>
  <c r="E18" i="5"/>
  <c r="B16" i="5"/>
  <c r="D13" i="5"/>
  <c r="E10" i="5"/>
  <c r="E41" i="1"/>
  <c r="B40" i="1"/>
  <c r="G38" i="1"/>
  <c r="E37" i="1"/>
  <c r="B36" i="1"/>
  <c r="B35" i="1"/>
  <c r="B34" i="1"/>
  <c r="E33" i="1"/>
  <c r="G32" i="1"/>
  <c r="B30" i="1"/>
  <c r="E29" i="1"/>
  <c r="G28" i="1"/>
  <c r="B26" i="1"/>
  <c r="E25" i="1"/>
  <c r="G24" i="1"/>
  <c r="B22" i="1"/>
  <c r="B41" i="1"/>
  <c r="E39" i="1"/>
  <c r="G37" i="1"/>
  <c r="G34" i="1"/>
  <c r="G33" i="1"/>
  <c r="E32" i="1"/>
  <c r="E31" i="1"/>
  <c r="E30" i="1"/>
  <c r="B29" i="1"/>
  <c r="B28" i="1"/>
  <c r="B27" i="1"/>
  <c r="G40" i="1"/>
  <c r="B39" i="1"/>
  <c r="B37" i="1"/>
  <c r="G35" i="1"/>
  <c r="E34" i="1"/>
  <c r="B33" i="1"/>
  <c r="B32" i="1"/>
  <c r="B31" i="1"/>
  <c r="G23" i="1"/>
  <c r="G22" i="1"/>
  <c r="E22" i="1"/>
  <c r="E40" i="1"/>
  <c r="E38" i="1"/>
  <c r="G36" i="1"/>
  <c r="E35" i="1"/>
  <c r="G27" i="1"/>
  <c r="G26" i="1"/>
  <c r="G25" i="1"/>
  <c r="E24" i="1"/>
  <c r="E23" i="1"/>
  <c r="G41" i="1"/>
  <c r="G39" i="1"/>
  <c r="B38" i="1"/>
  <c r="E36" i="1"/>
  <c r="G31" i="1"/>
  <c r="G30" i="1"/>
  <c r="G29" i="1"/>
  <c r="E28" i="1"/>
  <c r="E27" i="1"/>
  <c r="E26" i="1"/>
  <c r="B25" i="1"/>
  <c r="B24" i="1"/>
  <c r="B23" i="1"/>
  <c r="D30" i="5" l="1"/>
  <c r="T64" i="1"/>
  <c r="E42" i="1"/>
  <c r="A43" i="1" s="1"/>
</calcChain>
</file>

<file path=xl/sharedStrings.xml><?xml version="1.0" encoding="utf-8"?>
<sst xmlns="http://schemas.openxmlformats.org/spreadsheetml/2006/main" count="278" uniqueCount="132">
  <si>
    <t>CLIENT UTILIZATION &amp; RESOURCE ALLOCATION DASHBOARD</t>
  </si>
  <si>
    <t>Executive view of deliverables, resource allocation and monthly utilization  •  filter by Month and Client</t>
  </si>
  <si>
    <t>FILTERS</t>
  </si>
  <si>
    <t>Month:</t>
  </si>
  <si>
    <t>January</t>
  </si>
  <si>
    <t>Client:</t>
  </si>
  <si>
    <t>Alpha Appraisal</t>
  </si>
  <si>
    <t>◀ Use the dropdowns to update every KPI, chart and table below</t>
  </si>
  <si>
    <t>FILES RECEIVED</t>
  </si>
  <si>
    <t>FILES DELIVERED</t>
  </si>
  <si>
    <t>ON-TIME DELIVERY %</t>
  </si>
  <si>
    <t>QUALITY %</t>
  </si>
  <si>
    <t>PENDING FILES</t>
  </si>
  <si>
    <t>OVERDUE FILES</t>
  </si>
  <si>
    <t>TOTAL HOURS (SELECTED CLIENT)</t>
  </si>
  <si>
    <t>RESOURCES ALLOCATED</t>
  </si>
  <si>
    <t>PERFORMANCE &amp; UTILIZATION ANALYTICS</t>
  </si>
  <si>
    <t>RESOURCE ALLOCATION</t>
  </si>
  <si>
    <t>#</t>
  </si>
  <si>
    <t>Resource Name</t>
  </si>
  <si>
    <t>Hours</t>
  </si>
  <si>
    <t>EMPLOYEE UTILIZATION</t>
  </si>
  <si>
    <t>Employee:</t>
  </si>
  <si>
    <t>All</t>
  </si>
  <si>
    <t>◀ Uses the Month filter above to scope employee hours</t>
  </si>
  <si>
    <t>TOTAL HOURS (SELECTED EMPLOYEE)</t>
  </si>
  <si>
    <t>CLIENTS SERVED (SELECTED EMPLOYEE)</t>
  </si>
  <si>
    <t>QUALITY % (SELECTED EMPLOYEE)</t>
  </si>
  <si>
    <t>Quality % is tracked by client in the MIS data; shown where available for the clients this employee served.</t>
  </si>
  <si>
    <t>CLIENT</t>
  </si>
  <si>
    <t>HOURS</t>
  </si>
  <si>
    <t>TOTAL FOR SELECTED CLIENT</t>
  </si>
  <si>
    <t>TOTAL FOR SELECTED EMPLOYEE</t>
  </si>
  <si>
    <t>CLIENT-WISE MIS REPORT</t>
  </si>
  <si>
    <t>Monthly Client Performance Data  |  Source sheet for the Dashboard</t>
  </si>
  <si>
    <t>Month</t>
  </si>
  <si>
    <t>Client Name</t>
  </si>
  <si>
    <t>Files Received</t>
  </si>
  <si>
    <t>Files Delivered</t>
  </si>
  <si>
    <t>Files Delivered Before Due Date</t>
  </si>
  <si>
    <t>On-Time Delivery %</t>
  </si>
  <si>
    <t>Quality %</t>
  </si>
  <si>
    <t>Pending Files</t>
  </si>
  <si>
    <t>Overdue Files</t>
  </si>
  <si>
    <t>Resources Allocated</t>
  </si>
  <si>
    <t>Allocated Hours</t>
  </si>
  <si>
    <t>DP Appraisal</t>
  </si>
  <si>
    <t>February</t>
  </si>
  <si>
    <t>March</t>
  </si>
  <si>
    <t>April</t>
  </si>
  <si>
    <t>May</t>
  </si>
  <si>
    <t>June</t>
  </si>
  <si>
    <t>July</t>
  </si>
  <si>
    <t>CLIENT UTILIZATION TRACKER — RESOURCE HOURS BY CLIENT</t>
  </si>
  <si>
    <t>Primary input — enter each month's resource hours in the next blank rows (Month, Employee, then hours per client). Dashboard, KPIs and charts update automatically.</t>
  </si>
  <si>
    <t>Employee</t>
  </si>
  <si>
    <t>FCV</t>
  </si>
  <si>
    <t>EisnerAmper Commercial</t>
  </si>
  <si>
    <t>GA Group BPP</t>
  </si>
  <si>
    <t>GA Group Business Valuation</t>
  </si>
  <si>
    <t>Southwest Property Consultants</t>
  </si>
  <si>
    <t>Rittenhouse Appraisals</t>
  </si>
  <si>
    <t>Westrock Appraisal - Commercial</t>
  </si>
  <si>
    <t>Westrock Appraisal - 71A/B</t>
  </si>
  <si>
    <t>Westrock Appraisal - Cost Seg</t>
  </si>
  <si>
    <t>Real Point Appraisal</t>
  </si>
  <si>
    <t>Pointer Appraisal</t>
  </si>
  <si>
    <t>Leisure Appraisal</t>
  </si>
  <si>
    <t>United Appraisal Research</t>
  </si>
  <si>
    <t>Breland Appraisal</t>
  </si>
  <si>
    <t>Proven Realty</t>
  </si>
  <si>
    <t>Voltz Commercial Realty Advisors Inc</t>
  </si>
  <si>
    <t>Mitchell Valuation</t>
  </si>
  <si>
    <t>Hendry REA</t>
  </si>
  <si>
    <t>Sketching</t>
  </si>
  <si>
    <t>Training</t>
  </si>
  <si>
    <t>Other</t>
  </si>
  <si>
    <t>Leave</t>
  </si>
  <si>
    <t>Total</t>
  </si>
  <si>
    <t>SelClientHours</t>
  </si>
  <si>
    <t>SelRank</t>
  </si>
  <si>
    <t>ClientTotal</t>
  </si>
  <si>
    <t>EmpFirst</t>
  </si>
  <si>
    <t>EmpRank</t>
  </si>
  <si>
    <t>Sanjay</t>
  </si>
  <si>
    <t>Rakshitha D</t>
  </si>
  <si>
    <t>Vinith</t>
  </si>
  <si>
    <t>Abinaya K</t>
  </si>
  <si>
    <t>Subhicksha K</t>
  </si>
  <si>
    <t>Shrihari S</t>
  </si>
  <si>
    <t>Madhusree</t>
  </si>
  <si>
    <t>Ramkumar</t>
  </si>
  <si>
    <t>Reethika S</t>
  </si>
  <si>
    <t>Saran Kumar M</t>
  </si>
  <si>
    <t>Miruthula Devi</t>
  </si>
  <si>
    <t>Sahdev</t>
  </si>
  <si>
    <t>Harsha</t>
  </si>
  <si>
    <t>Sakthi Priya</t>
  </si>
  <si>
    <t>Arun</t>
  </si>
  <si>
    <t>Sreenidhi</t>
  </si>
  <si>
    <t>Kishor Kumar K</t>
  </si>
  <si>
    <t>Bharathi</t>
  </si>
  <si>
    <t>Lydia</t>
  </si>
  <si>
    <t>Bhuvanesh</t>
  </si>
  <si>
    <t>Kamalee</t>
  </si>
  <si>
    <t>Vidhyabharathiraj</t>
  </si>
  <si>
    <t>Kaviraj</t>
  </si>
  <si>
    <t>Kaamesh</t>
  </si>
  <si>
    <t>Jerial</t>
  </si>
  <si>
    <t>Vidya</t>
  </si>
  <si>
    <t>Vishnupriya</t>
  </si>
  <si>
    <t>Tejashree</t>
  </si>
  <si>
    <t>Swathi</t>
  </si>
  <si>
    <t>Arun Anbazhagan</t>
  </si>
  <si>
    <t>Client</t>
  </si>
  <si>
    <t>Total Client Hours</t>
  </si>
  <si>
    <t>Employee Hours</t>
  </si>
  <si>
    <t>QualityNum</t>
  </si>
  <si>
    <t>HasQuality</t>
  </si>
  <si>
    <t>August</t>
  </si>
  <si>
    <t>September</t>
  </si>
  <si>
    <t>October</t>
  </si>
  <si>
    <t>November</t>
  </si>
  <si>
    <t>December</t>
  </si>
  <si>
    <t>EMPLOYEE UTILIZATION — DETAIL VIEW</t>
  </si>
  <si>
    <t>Mirrors the Employee and Month selected on the Dashboard sheet — change the selection there to update this view.</t>
  </si>
  <si>
    <t>Selected Employee:</t>
  </si>
  <si>
    <t>Selected Month:</t>
  </si>
  <si>
    <t>TOTAL UTILIZED HOURS</t>
  </si>
  <si>
    <t>CLIENTS SERVED</t>
  </si>
  <si>
    <t>HOURS UTILIZED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</si>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</sst>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28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i/>
      <sz val="9.5"/>
      <color rgb="FFFFFFFF"/>
      <name val="Arial"/>
      <charset val="1"/>
    </font>
    <font>
      <b/>
      <sz val="10"/>
      <color rgb="FF1F3864"/>
      <name val="Arial"/>
      <charset val="1"/>
    </font>
    <font>
      <b/>
      <sz val="10"/>
      <color rgb="FF1A1A1A"/>
      <name val="Arial"/>
      <charset val="1"/>
    </font>
    <font>
      <b/>
      <sz val="10"/>
      <color rgb="FFFFFFFF"/>
      <name val="Arial"/>
      <charset val="1"/>
    </font>
    <font>
      <i/>
      <sz val="9"/>
      <color rgb="FF595959"/>
      <name val="Arial"/>
      <charset val="1"/>
    </font>
    <font>
      <b/>
      <sz val="9"/>
      <color rgb="FFFFFFFF"/>
      <name val="Arial"/>
      <charset val="1"/>
    </font>
    <font>
      <b/>
      <sz val="20"/>
      <color rgb="FF1F3864"/>
      <name val="Arial"/>
      <charset val="1"/>
    </font>
    <font>
      <b/>
      <sz val="10.5"/>
      <color rgb="FFFFFFFF"/>
      <name val="Arial"/>
      <charset val="1"/>
    </font>
    <font>
      <sz val="9"/>
      <color rgb="FF808080"/>
      <name val="Arial"/>
      <charset val="1"/>
    </font>
    <font>
      <sz val="9"/>
      <color rgb="FF1A1A1A"/>
      <name val="Arial"/>
      <charset val="1"/>
    </font>
    <font>
      <sz val="9"/>
      <name val="Arial"/>
      <charset val="1"/>
    </font>
    <font>
      <i/>
      <sz val="8"/>
      <color rgb="FF595959"/>
      <name val="Arial"/>
      <charset val="1"/>
    </font>
    <font>
      <sz val="9"/>
      <color rgb="FF595959"/>
      <name val="Arial"/>
      <charset val="1"/>
    </font>
    <font>
      <i/>
      <sz val="8.5"/>
      <color rgb="FF595959"/>
      <name val="Arial"/>
      <charset val="1"/>
    </font>
    <font>
      <sz val="8.5"/>
      <color rgb="FF595959"/>
      <name val="Arial"/>
      <charset val="1"/>
    </font>
    <font>
      <b/>
      <sz val="18"/>
      <color rgb="FFFFFFFF"/>
      <name val="Calibri"/>
      <family val="2"/>
      <charset val="1"/>
    </font>
    <font>
      <i/>
      <sz val="10"/>
      <color rgb="FF8C8785"/>
      <name val="Calibri"/>
      <family val="2"/>
      <charset val="1"/>
    </font>
    <font>
      <b/>
      <sz val="10.5"/>
      <color rgb="FFFFFFFF"/>
      <name val="Calibri"/>
      <family val="2"/>
      <charset val="1"/>
    </font>
    <font>
      <b/>
      <sz val="11"/>
      <name val="Calibri"/>
      <charset val="1"/>
    </font>
    <font>
      <sz val="10"/>
      <color rgb="FF3B3838"/>
      <name val="Calibri"/>
      <family val="2"/>
      <charset val="1"/>
    </font>
    <font>
      <b/>
      <sz val="14"/>
      <color rgb="FFB84A0F"/>
      <name val="Calibri"/>
      <charset val="1"/>
    </font>
    <font>
      <b/>
      <sz val="10"/>
      <color rgb="FFFFFFFF"/>
      <name val="Calibri"/>
      <charset val="1"/>
    </font>
    <font>
      <sz val="10"/>
      <color rgb="FF0000FF"/>
      <name val="Calibri"/>
      <charset val="1"/>
    </font>
    <font>
      <b/>
      <sz val="10"/>
      <name val="Calibri"/>
      <charset val="1"/>
    </font>
    <font>
      <b/>
      <sz val="18"/>
      <color rgb="FF1F3864"/>
      <name val="Arial"/>
      <charset val="1"/>
    </font>
    <font>
      <b/>
      <sz val="14"/>
      <color rgb="FF1F3864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B3838"/>
      </patternFill>
    </fill>
    <fill>
      <patternFill patternType="solid">
        <fgColor rgb="FF2E5496"/>
        <bgColor rgb="FF1F3864"/>
      </patternFill>
    </fill>
    <fill>
      <patternFill patternType="solid">
        <fgColor rgb="FF2F7D7D"/>
        <bgColor rgb="FF008080"/>
      </patternFill>
    </fill>
    <fill>
      <patternFill patternType="solid">
        <fgColor rgb="FFFFFFFF"/>
        <bgColor rgb="FFFDF2E9"/>
      </patternFill>
    </fill>
    <fill>
      <patternFill patternType="solid">
        <fgColor rgb="FFB84A0F"/>
        <bgColor rgb="FFC0392B"/>
      </patternFill>
    </fill>
    <fill>
      <patternFill patternType="solid">
        <fgColor rgb="FFFDF2E9"/>
        <bgColor rgb="FFFFFFFF"/>
      </patternFill>
    </fill>
    <fill>
      <patternFill patternType="solid">
        <fgColor rgb="FFE8720C"/>
        <bgColor rgb="FFD68910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E3DDD8"/>
      </left>
      <right style="thin">
        <color rgb="FFE3DDD8"/>
      </right>
      <top style="thin">
        <color rgb="FFE3DDD8"/>
      </top>
      <bottom style="thin">
        <color rgb="FFE3DDD8"/>
      </bottom>
      <diagonal/>
    </border>
    <border>
      <left style="thin">
        <color rgb="FFF0923D"/>
      </left>
      <right style="thin">
        <color rgb="FFF0923D"/>
      </right>
      <top style="thin">
        <color rgb="FFF0923D"/>
      </top>
      <bottom style="thin">
        <color rgb="FFF0923D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7" fillId="4" borderId="1" xfId="0" applyFont="1" applyFill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4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5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165" fontId="11" fillId="0" borderId="1" xfId="0" applyNumberFormat="1" applyFont="1" applyBorder="1" applyAlignment="1">
      <alignment horizontal="center" vertical="center"/>
    </xf>
    <xf numFmtId="0" fontId="12" fillId="0" borderId="0" xfId="0" applyFont="1"/>
    <xf numFmtId="0" fontId="14" fillId="0" borderId="1" xfId="0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/>
    </xf>
    <xf numFmtId="165" fontId="5" fillId="2" borderId="1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left" vertical="center"/>
    </xf>
    <xf numFmtId="164" fontId="5" fillId="2" borderId="1" xfId="0" applyNumberFormat="1" applyFont="1" applyFill="1" applyBorder="1" applyAlignment="1">
      <alignment horizontal="center" vertical="center"/>
    </xf>
    <xf numFmtId="0" fontId="19" fillId="8" borderId="0" xfId="0" applyFont="1" applyFill="1" applyAlignment="1">
      <alignment horizontal="center" vertical="center" wrapText="1"/>
    </xf>
    <xf numFmtId="0" fontId="20" fillId="0" borderId="0" xfId="0" applyFont="1"/>
    <xf numFmtId="0" fontId="21" fillId="0" borderId="2" xfId="0" applyFont="1" applyBorder="1"/>
    <xf numFmtId="3" fontId="21" fillId="0" borderId="2" xfId="0" applyNumberFormat="1" applyFont="1" applyBorder="1" applyAlignment="1">
      <alignment horizontal="center"/>
    </xf>
    <xf numFmtId="164" fontId="21" fillId="0" borderId="2" xfId="0" applyNumberFormat="1" applyFont="1" applyBorder="1" applyAlignment="1">
      <alignment horizontal="center"/>
    </xf>
    <xf numFmtId="2" fontId="0" fillId="0" borderId="0" xfId="0" applyNumberFormat="1"/>
    <xf numFmtId="0" fontId="22" fillId="0" borderId="0" xfId="0" applyFont="1"/>
    <xf numFmtId="0" fontId="6" fillId="0" borderId="0" xfId="0" applyFont="1"/>
    <xf numFmtId="0" fontId="23" fillId="6" borderId="3" xfId="0" applyFont="1" applyFill="1" applyBorder="1" applyAlignment="1">
      <alignment horizontal="center" vertical="center" wrapText="1"/>
    </xf>
    <xf numFmtId="0" fontId="24" fillId="0" borderId="0" xfId="0" applyFont="1"/>
    <xf numFmtId="2" fontId="24" fillId="0" borderId="0" xfId="0" applyNumberFormat="1" applyFont="1"/>
    <xf numFmtId="2" fontId="25" fillId="0" borderId="0" xfId="0" applyNumberFormat="1" applyFont="1"/>
    <xf numFmtId="0" fontId="25" fillId="0" borderId="0" xfId="0" applyFont="1"/>
    <xf numFmtId="0" fontId="4" fillId="0" borderId="0" xfId="0" applyFont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1" fontId="8" fillId="5" borderId="1" xfId="0" applyNumberFormat="1" applyFont="1" applyFill="1" applyBorder="1" applyAlignment="1">
      <alignment horizontal="center" vertical="center"/>
    </xf>
    <xf numFmtId="165" fontId="8" fillId="5" borderId="1" xfId="0" applyNumberFormat="1" applyFont="1" applyFill="1" applyBorder="1" applyAlignment="1">
      <alignment horizontal="center" vertical="center"/>
    </xf>
    <xf numFmtId="164" fontId="8" fillId="5" borderId="1" xfId="0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165" fontId="27" fillId="5" borderId="1" xfId="0" applyNumberFormat="1" applyFont="1" applyFill="1" applyBorder="1" applyAlignment="1">
      <alignment horizontal="center" vertical="center"/>
    </xf>
    <xf numFmtId="1" fontId="27" fillId="5" borderId="1" xfId="0" applyNumberFormat="1" applyFont="1" applyFill="1" applyBorder="1" applyAlignment="1">
      <alignment horizontal="center" vertical="center"/>
    </xf>
    <xf numFmtId="164" fontId="27" fillId="5" borderId="1" xfId="0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7" fillId="4" borderId="1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165" fontId="11" fillId="0" borderId="1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165" fontId="5" fillId="2" borderId="1" xfId="0" applyNumberFormat="1" applyFont="1" applyFill="1" applyBorder="1" applyAlignment="1">
      <alignment horizontal="center" vertical="center"/>
    </xf>
    <xf numFmtId="164" fontId="5" fillId="2" borderId="1" xfId="0" applyNumberFormat="1" applyFont="1" applyFill="1" applyBorder="1" applyAlignment="1">
      <alignment horizontal="center" vertical="center"/>
    </xf>
    <xf numFmtId="0" fontId="17" fillId="6" borderId="0" xfId="0" applyFont="1" applyFill="1" applyAlignment="1">
      <alignment horizontal="left" vertical="center" indent="1"/>
    </xf>
    <xf numFmtId="0" fontId="18" fillId="7" borderId="0" xfId="0" applyFont="1" applyFill="1" applyAlignment="1">
      <alignment horizontal="left" vertical="center" indent="1"/>
    </xf>
    <xf numFmtId="0" fontId="5" fillId="4" borderId="4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165" fontId="26" fillId="5" borderId="4" xfId="0" applyNumberFormat="1" applyFont="1" applyFill="1" applyBorder="1" applyAlignment="1">
      <alignment horizontal="center" vertical="center"/>
    </xf>
    <xf numFmtId="1" fontId="26" fillId="5" borderId="4" xfId="0" applyNumberFormat="1" applyFont="1" applyFill="1" applyBorder="1" applyAlignment="1">
      <alignment horizontal="center" vertical="center"/>
    </xf>
    <xf numFmtId="164" fontId="26" fillId="5" borderId="4" xfId="0" applyNumberFormat="1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left" vertical="center"/>
    </xf>
    <xf numFmtId="0" fontId="11" fillId="0" borderId="4" xfId="0" applyFont="1" applyBorder="1" applyAlignment="1">
      <alignment horizontal="left" vertical="center"/>
    </xf>
    <xf numFmtId="0" fontId="7" fillId="2" borderId="4" xfId="0" applyFont="1" applyFill="1" applyBorder="1" applyAlignment="1">
      <alignment horizontal="left" vertical="center"/>
    </xf>
  </cellXfs>
  <cellStyles count="1">
    <cellStyle name="Normal" xfId="0" builtinId="0"/>
  </cellStyles>
  <dxfs count="11">
    <dxf>
      <font>
        <b/>
        <color rgb="FFC0392B"/>
      </font>
      <fill>
        <patternFill>
          <bgColor rgb="FFFBD7CB"/>
        </patternFill>
      </fill>
    </dxf>
    <dxf>
      <font>
        <b/>
        <color rgb="FFD68910"/>
      </font>
      <fill>
        <patternFill>
          <bgColor rgb="FFFBE4CE"/>
        </patternFill>
      </fill>
    </dxf>
    <dxf>
      <font>
        <b/>
        <color rgb="FFC0392B"/>
      </font>
      <fill>
        <patternFill>
          <bgColor rgb="FFFBD7CB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9C6500"/>
        <name val="Arial"/>
        <charset val="1"/>
      </font>
      <fill>
        <patternFill>
          <bgColor rgb="FFFFEB9C"/>
        </patternFill>
      </fill>
    </dxf>
    <dxf>
      <font>
        <b/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9C6500"/>
        <name val="Arial"/>
        <charset val="1"/>
      </font>
      <fill>
        <patternFill>
          <bgColor rgb="FFFFEB9C"/>
        </patternFill>
      </fill>
    </dxf>
    <dxf>
      <font>
        <b/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9C6500"/>
        <name val="Arial"/>
        <charset val="1"/>
      </font>
      <fill>
        <patternFill>
          <bgColor rgb="FFFFEB9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FBFBF"/>
      <rgbColor rgb="FF808080"/>
      <rgbColor rgb="FF9999FF"/>
      <rgbColor rgb="FFC0392B"/>
      <rgbColor rgb="FFFDF2E9"/>
      <rgbColor rgb="FFE6E6E6"/>
      <rgbColor rgb="FF660066"/>
      <rgbColor rgb="FFD6891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3DDD8"/>
      <rgbColor rgb="FFC6EFCE"/>
      <rgbColor rgb="FFFFEB9C"/>
      <rgbColor rgb="FFB3B3B3"/>
      <rgbColor rgb="FFFBD7CB"/>
      <rgbColor rgb="FFFBE4CE"/>
      <rgbColor rgb="FFFFC7CE"/>
      <rgbColor rgb="FF4F81BD"/>
      <rgbColor rgb="FF33CCCC"/>
      <rgbColor rgb="FF99CC00"/>
      <rgbColor rgb="FFFFCC00"/>
      <rgbColor rgb="FFF0923D"/>
      <rgbColor rgb="FFE8720C"/>
      <rgbColor rgb="FF595959"/>
      <rgbColor rgb="FF8C8785"/>
      <rgbColor rgb="FF1F3864"/>
      <rgbColor rgb="FF2F7D7D"/>
      <rgbColor rgb="FF003300"/>
      <rgbColor rgb="FF1A1A1A"/>
      <rgbColor rgb="FFB84A0F"/>
      <rgbColor rgb="FF993366"/>
      <rgbColor rgb="FF2E5496"/>
      <rgbColor rgb="FF3B3838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ISData" displayName="MISData" ref="A4:K18" totalsRowShown="0">
  <tableColumns count="11">
    <tableColumn id="1" xr3:uid="{00000000-0010-0000-0000-000001000000}" name="Month"/>
    <tableColumn id="2" xr3:uid="{00000000-0010-0000-0000-000002000000}" name="Client Name"/>
    <tableColumn id="3" xr3:uid="{00000000-0010-0000-0000-000003000000}" name="Files Received"/>
    <tableColumn id="4" xr3:uid="{00000000-0010-0000-0000-000004000000}" name="Files Delivered"/>
    <tableColumn id="5" xr3:uid="{00000000-0010-0000-0000-000005000000}" name="Files Delivered Before Due Date"/>
    <tableColumn id="6" xr3:uid="{00000000-0010-0000-0000-000006000000}" name="On-Time Delivery %"/>
    <tableColumn id="7" xr3:uid="{00000000-0010-0000-0000-000007000000}" name="Quality %"/>
    <tableColumn id="8" xr3:uid="{00000000-0010-0000-0000-000008000000}" name="Pending Files"/>
    <tableColumn id="9" xr3:uid="{00000000-0010-0000-0000-000009000000}" name="Overdue Files"/>
    <tableColumn id="10" xr3:uid="{00000000-0010-0000-0000-00000A000000}" name="Resources Allocated"/>
    <tableColumn id="11" xr3:uid="{00000000-0010-0000-0000-00000B000000}" name="Allocated Hours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UtilData" displayName="UtilData" ref="A4:AD364" totalsRowShown="0">
  <autoFilter ref="A4:AD364" xr:uid="{00000000-0009-0000-0100-000002000000}"/>
  <tableColumns count="30">
    <tableColumn id="1" xr3:uid="{00000000-0010-0000-0100-000001000000}" name="Month"/>
    <tableColumn id="2" xr3:uid="{00000000-0010-0000-0100-000002000000}" name="Employee"/>
    <tableColumn id="3" xr3:uid="{00000000-0010-0000-0100-000003000000}" name="FCV"/>
    <tableColumn id="4" xr3:uid="{00000000-0010-0000-0100-000004000000}" name="Alpha Appraisal"/>
    <tableColumn id="5" xr3:uid="{00000000-0010-0000-0100-000005000000}" name="EisnerAmper Commercial"/>
    <tableColumn id="6" xr3:uid="{00000000-0010-0000-0100-000006000000}" name="GA Group BPP"/>
    <tableColumn id="7" xr3:uid="{00000000-0010-0000-0100-000007000000}" name="GA Group Business Valuation"/>
    <tableColumn id="8" xr3:uid="{00000000-0010-0000-0100-000008000000}" name="Southwest Property Consultants"/>
    <tableColumn id="9" xr3:uid="{00000000-0010-0000-0100-000009000000}" name="Rittenhouse Appraisals"/>
    <tableColumn id="10" xr3:uid="{00000000-0010-0000-0100-00000A000000}" name="Westrock Appraisal - Commercial"/>
    <tableColumn id="11" xr3:uid="{00000000-0010-0000-0100-00000B000000}" name="Westrock Appraisal - 71A/B"/>
    <tableColumn id="12" xr3:uid="{00000000-0010-0000-0100-00000C000000}" name="Westrock Appraisal - Cost Seg"/>
    <tableColumn id="13" xr3:uid="{00000000-0010-0000-0100-00000D000000}" name="DP Appraisal"/>
    <tableColumn id="14" xr3:uid="{00000000-0010-0000-0100-00000E000000}" name="Real Point Appraisal"/>
    <tableColumn id="15" xr3:uid="{00000000-0010-0000-0100-00000F000000}" name="Pointer Appraisal"/>
    <tableColumn id="16" xr3:uid="{00000000-0010-0000-0100-000010000000}" name="Leisure Appraisal"/>
    <tableColumn id="17" xr3:uid="{00000000-0010-0000-0100-000011000000}" name="United Appraisal Research"/>
    <tableColumn id="18" xr3:uid="{00000000-0010-0000-0100-000012000000}" name="Breland Appraisal"/>
    <tableColumn id="19" xr3:uid="{00000000-0010-0000-0100-000013000000}" name="Proven Realty"/>
    <tableColumn id="20" xr3:uid="{00000000-0010-0000-0100-000014000000}" name="Voltz Commercial Realty Advisors Inc"/>
    <tableColumn id="21" xr3:uid="{00000000-0010-0000-0100-000015000000}" name="Mitchell Valuation"/>
    <tableColumn id="22" xr3:uid="{00000000-0010-0000-0100-000016000000}" name="Hendry REA"/>
    <tableColumn id="23" xr3:uid="{00000000-0010-0000-0100-000017000000}" name="Sketching"/>
    <tableColumn id="24" xr3:uid="{00000000-0010-0000-0100-000018000000}" name="Training"/>
    <tableColumn id="25" xr3:uid="{00000000-0010-0000-0100-000019000000}" name="Other"/>
    <tableColumn id="26" xr3:uid="{00000000-0010-0000-0100-00001A000000}" name="Leave"/>
    <tableColumn id="27" xr3:uid="{00000000-0010-0000-0100-00001B000000}" name="Total"/>
    <tableColumn id="28" xr3:uid="{00000000-0010-0000-0100-00001C000000}" name="SelClientHours"/>
    <tableColumn id="29" xr3:uid="{00000000-0010-0000-0100-00001D000000}" name="SelRank"/>
    <tableColumn id="30" xr3:uid="{00000000-0010-0000-0100-00001E000000}" name="ClientTotal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80"/>
  <sheetViews>
    <sheetView showGridLines="0" zoomScaleNormal="100" workbookViewId="0">
      <pane ySplit="5" topLeftCell="A33" activePane="bottomLeft" state="frozen"/>
      <selection pane="bottomLeft" activeCell="K42" sqref="K42"/>
    </sheetView>
  </sheetViews>
  <sheetFormatPr defaultColWidth="8.7265625" defaultRowHeight="14.5" x14ac:dyDescent="0.35"/>
  <cols>
    <col min="1" max="16" width="8.54296875" customWidth="1"/>
    <col min="17" max="17" width="2.1796875" customWidth="1"/>
    <col min="18" max="18" width="4.453125" customWidth="1"/>
    <col min="19" max="19" width="26" customWidth="1"/>
    <col min="20" max="20" width="15" customWidth="1"/>
  </cols>
  <sheetData>
    <row r="1" spans="1:20" ht="30" customHeight="1" x14ac:dyDescent="0.35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0" ht="15.75" customHeight="1" x14ac:dyDescent="0.35">
      <c r="A2" s="31" t="s">
        <v>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</row>
    <row r="3" spans="1:20" ht="6" customHeight="1" x14ac:dyDescent="0.35"/>
    <row r="4" spans="1:20" ht="19.5" customHeight="1" x14ac:dyDescent="0.35">
      <c r="A4" s="32" t="s">
        <v>2</v>
      </c>
      <c r="B4" s="32"/>
      <c r="C4" s="4" t="s">
        <v>3</v>
      </c>
      <c r="D4" s="5" t="s">
        <v>4</v>
      </c>
      <c r="F4" s="4" t="s">
        <v>5</v>
      </c>
      <c r="G4" s="33" t="s">
        <v>6</v>
      </c>
      <c r="H4" s="33"/>
      <c r="I4" s="33"/>
      <c r="J4" s="33"/>
      <c r="L4" s="2" t="s">
        <v>7</v>
      </c>
    </row>
    <row r="5" spans="1:20" ht="6" customHeight="1" x14ac:dyDescent="0.35"/>
    <row r="6" spans="1:20" ht="15" customHeight="1" x14ac:dyDescent="0.35">
      <c r="A6" s="34" t="s">
        <v>8</v>
      </c>
      <c r="B6" s="34"/>
      <c r="C6" s="34"/>
      <c r="D6" s="34"/>
      <c r="E6" s="34" t="s">
        <v>9</v>
      </c>
      <c r="F6" s="34"/>
      <c r="G6" s="34"/>
      <c r="H6" s="34"/>
      <c r="I6" s="34" t="s">
        <v>10</v>
      </c>
      <c r="J6" s="34"/>
      <c r="K6" s="34"/>
      <c r="L6" s="34"/>
      <c r="M6" s="34" t="s">
        <v>11</v>
      </c>
      <c r="N6" s="34"/>
      <c r="O6" s="34"/>
      <c r="P6" s="34"/>
    </row>
    <row r="7" spans="1:20" ht="33.75" customHeight="1" x14ac:dyDescent="0.35">
      <c r="A7" s="35">
        <f>SUMIFS(MISData[Files Received],MISData[Month],IF($D$4="All","*",$D$4),MISData[Client Name],IF($G$4="All","*",$G$4))</f>
        <v>3</v>
      </c>
      <c r="B7" s="35"/>
      <c r="C7" s="35"/>
      <c r="D7" s="35"/>
      <c r="E7" s="35">
        <f>SUMIFS(MISData[Files Delivered],MISData[Month],IF($D$4="All","*",$D$4),MISData[Client Name],IF($G$4="All","*",$G$4))</f>
        <v>1</v>
      </c>
      <c r="F7" s="35"/>
      <c r="G7" s="35"/>
      <c r="H7" s="35"/>
      <c r="I7" s="37">
        <f>IFERROR(SUMIFS(MISData[Files Delivered Before Due Date],MISData[Month],IF($D$4="All","*",$D$4),MISData[Client Name],IF($G$4="All","*",$G$4))/SUMIFS(MISData[Files Delivered],MISData[Month],IF($D$4="All","*",$D$4),MISData[Client Name],IF($G$4="All","*",$G$4)),0)</f>
        <v>1</v>
      </c>
      <c r="J7" s="37"/>
      <c r="K7" s="37"/>
      <c r="L7" s="37"/>
      <c r="M7" s="37">
        <f>IFERROR(AVERAGEIFS(MISData[Quality %],MISData[Month],IF($D$4="All","*",$D$4),MISData[Client Name],IF($G$4="All","*",$G$4)),0)</f>
        <v>0.95</v>
      </c>
      <c r="N7" s="37"/>
      <c r="O7" s="37"/>
      <c r="P7" s="37"/>
    </row>
    <row r="8" spans="1:20" ht="4.5" customHeight="1" x14ac:dyDescent="0.35"/>
    <row r="9" spans="1:20" ht="15" customHeight="1" x14ac:dyDescent="0.35">
      <c r="A9" s="38" t="s">
        <v>12</v>
      </c>
      <c r="B9" s="38"/>
      <c r="C9" s="38"/>
      <c r="D9" s="38"/>
      <c r="E9" s="38" t="s">
        <v>13</v>
      </c>
      <c r="F9" s="38"/>
      <c r="G9" s="38"/>
      <c r="H9" s="38"/>
      <c r="I9" s="38" t="s">
        <v>14</v>
      </c>
      <c r="J9" s="38"/>
      <c r="K9" s="38"/>
      <c r="L9" s="38"/>
      <c r="M9" s="38" t="s">
        <v>15</v>
      </c>
      <c r="N9" s="38"/>
      <c r="O9" s="38"/>
      <c r="P9" s="38"/>
    </row>
    <row r="10" spans="1:20" ht="33.75" customHeight="1" x14ac:dyDescent="0.35">
      <c r="A10" s="35">
        <f>SUMIFS(MISData[Pending Files],MISData[Month],IF($D$4="All","*",$D$4),MISData[Client Name],IF($G$4="All","*",$G$4))</f>
        <v>2</v>
      </c>
      <c r="B10" s="35"/>
      <c r="C10" s="35"/>
      <c r="D10" s="35"/>
      <c r="E10" s="35">
        <f>SUMIFS(MISData[Overdue Files],MISData[Month],IF($D$4="All","*",$D$4),MISData[Client Name],IF($G$4="All","*",$G$4))</f>
        <v>1</v>
      </c>
      <c r="F10" s="35"/>
      <c r="G10" s="35"/>
      <c r="H10" s="35"/>
      <c r="I10" s="36">
        <f>SUM('Utilization Data'!$AB$5:$AB$364)</f>
        <v>229.5</v>
      </c>
      <c r="J10" s="36"/>
      <c r="K10" s="36"/>
      <c r="L10" s="36"/>
      <c r="M10" s="35">
        <f>COUNTIF('Utilization Data'!$AB$5:$AB$364,"&gt;0")</f>
        <v>4</v>
      </c>
      <c r="N10" s="35"/>
      <c r="O10" s="35"/>
      <c r="P10" s="35"/>
    </row>
    <row r="11" spans="1:20" ht="6" customHeight="1" x14ac:dyDescent="0.35"/>
    <row r="12" spans="1:20" ht="18" customHeight="1" x14ac:dyDescent="0.35">
      <c r="A12" s="40" t="s">
        <v>21</v>
      </c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39" t="s">
        <v>17</v>
      </c>
      <c r="S12" s="39"/>
      <c r="T12" s="39"/>
    </row>
    <row r="13" spans="1:20" ht="15" customHeight="1" x14ac:dyDescent="0.35">
      <c r="R13" s="3" t="s">
        <v>18</v>
      </c>
      <c r="S13" s="1" t="s">
        <v>19</v>
      </c>
      <c r="T13" s="3" t="s">
        <v>20</v>
      </c>
    </row>
    <row r="14" spans="1:20" ht="15" customHeight="1" x14ac:dyDescent="0.35">
      <c r="C14" s="4" t="s">
        <v>22</v>
      </c>
      <c r="D14" s="33" t="s">
        <v>85</v>
      </c>
      <c r="E14" s="33"/>
      <c r="F14" s="33"/>
      <c r="G14" s="33"/>
      <c r="I14" s="41" t="s">
        <v>24</v>
      </c>
      <c r="J14" s="41"/>
      <c r="K14" s="41"/>
      <c r="L14" s="41"/>
      <c r="M14" s="41"/>
      <c r="N14" s="41"/>
      <c r="O14" s="41"/>
      <c r="P14" s="41"/>
      <c r="Q14" s="41"/>
      <c r="R14" s="6">
        <v>1</v>
      </c>
      <c r="S14" s="7" t="str">
        <f>IFERROR(INDEX('Utilization Data'!$B$5:$B$364,MATCH(1,'Utilization Data'!$AC$5:$AC$364,0)),"")</f>
        <v>Rakshitha D</v>
      </c>
      <c r="T14" s="8">
        <f>IFERROR(INDEX('Utilization Data'!$AB$5:$AB$364,MATCH(1,'Utilization Data'!$AC$5:$AC$364,0)),"")</f>
        <v>37.25</v>
      </c>
    </row>
    <row r="15" spans="1:20" ht="15" customHeight="1" x14ac:dyDescent="0.35">
      <c r="R15" s="6">
        <v>2</v>
      </c>
      <c r="S15" s="7" t="str">
        <f>IFERROR(INDEX('Utilization Data'!$B$5:$B$364,MATCH(2,'Utilization Data'!$AC$5:$AC$364,0)),"")</f>
        <v>Subhicksha K</v>
      </c>
      <c r="T15" s="8">
        <f>IFERROR(INDEX('Utilization Data'!$AB$5:$AB$364,MATCH(2,'Utilization Data'!$AC$5:$AC$364,0)),"")</f>
        <v>98.5</v>
      </c>
    </row>
    <row r="16" spans="1:20" ht="15" customHeight="1" x14ac:dyDescent="0.35">
      <c r="A16" s="38" t="s">
        <v>25</v>
      </c>
      <c r="B16" s="38"/>
      <c r="C16" s="38"/>
      <c r="D16" s="38"/>
      <c r="E16" s="38" t="s">
        <v>26</v>
      </c>
      <c r="F16" s="38"/>
      <c r="G16" s="38"/>
      <c r="H16" s="38"/>
      <c r="R16" s="6">
        <v>3</v>
      </c>
      <c r="S16" s="7" t="str">
        <f>IFERROR(INDEX('Utilization Data'!$B$5:$B$364,MATCH(3,'Utilization Data'!$AC$5:$AC$364,0)),"")</f>
        <v>Reethika S</v>
      </c>
      <c r="T16" s="8">
        <f>IFERROR(INDEX('Utilization Data'!$AB$5:$AB$364,MATCH(3,'Utilization Data'!$AC$5:$AC$364,0)),"")</f>
        <v>37</v>
      </c>
    </row>
    <row r="17" spans="1:20" ht="15" customHeight="1" x14ac:dyDescent="0.35">
      <c r="A17" s="42">
        <f>SUM(ChartData!$P$2:$P$21)</f>
        <v>148</v>
      </c>
      <c r="B17" s="42"/>
      <c r="C17" s="42"/>
      <c r="D17" s="42"/>
      <c r="E17" s="43">
        <f>COUNTIF(ChartData!$P$2:$P$21,"&gt;0")</f>
        <v>4</v>
      </c>
      <c r="F17" s="43"/>
      <c r="G17" s="43"/>
      <c r="H17" s="43"/>
      <c r="R17" s="6">
        <v>4</v>
      </c>
      <c r="S17" s="7" t="str">
        <f>IFERROR(INDEX('Utilization Data'!$B$5:$B$364,MATCH(4,'Utilization Data'!$AC$5:$AC$364,0)),"")</f>
        <v>Miruthula Devi</v>
      </c>
      <c r="T17" s="8">
        <f>IFERROR(INDEX('Utilization Data'!$AB$5:$AB$364,MATCH(4,'Utilization Data'!$AC$5:$AC$364,0)),"")</f>
        <v>56.75</v>
      </c>
    </row>
    <row r="18" spans="1:20" ht="15" customHeight="1" x14ac:dyDescent="0.35">
      <c r="A18" s="38" t="s">
        <v>27</v>
      </c>
      <c r="B18" s="38"/>
      <c r="C18" s="38"/>
      <c r="D18" s="38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6">
        <v>5</v>
      </c>
      <c r="S18" s="7" t="str">
        <f>IFERROR(INDEX('Utilization Data'!$B$5:$B$364,MATCH(5,'Utilization Data'!$AC$5:$AC$364,0)),"")</f>
        <v/>
      </c>
      <c r="T18" s="8" t="str">
        <f>IFERROR(INDEX('Utilization Data'!$AB$5:$AB$364,MATCH(5,'Utilization Data'!$AC$5:$AC$364,0)),"")</f>
        <v/>
      </c>
    </row>
    <row r="19" spans="1:20" ht="15" customHeight="1" x14ac:dyDescent="0.35">
      <c r="A19" s="44">
        <f>IF(SUMPRODUCT(ChartData!$P$2:$P$21*ChartData!$T$2:$T$21)=0,"N/A",SUMPRODUCT(ChartData!$P$2:$P$21*ChartData!$S$2:$S$21*ChartData!$T$2:$T$21)/SUMPRODUCT(ChartData!$P$2:$P$21*ChartData!$T$2:$T$21))</f>
        <v>0.97827988338192406</v>
      </c>
      <c r="B19" s="44"/>
      <c r="C19" s="44"/>
      <c r="D19" s="44"/>
      <c r="E19" s="45" t="s">
        <v>28</v>
      </c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6">
        <v>6</v>
      </c>
      <c r="S19" s="7" t="str">
        <f>IFERROR(INDEX('Utilization Data'!$B$5:$B$364,MATCH(6,'Utilization Data'!$AC$5:$AC$364,0)),"")</f>
        <v/>
      </c>
      <c r="T19" s="8" t="str">
        <f>IFERROR(INDEX('Utilization Data'!$AB$5:$AB$364,MATCH(6,'Utilization Data'!$AC$5:$AC$364,0)),"")</f>
        <v/>
      </c>
    </row>
    <row r="20" spans="1:20" ht="15" customHeight="1" x14ac:dyDescent="0.35">
      <c r="R20" s="6">
        <v>7</v>
      </c>
      <c r="S20" s="7" t="str">
        <f>IFERROR(INDEX('Utilization Data'!$B$5:$B$364,MATCH(7,'Utilization Data'!$AC$5:$AC$364,0)),"")</f>
        <v/>
      </c>
      <c r="T20" s="8" t="str">
        <f>IFERROR(INDEX('Utilization Data'!$AB$5:$AB$364,MATCH(7,'Utilization Data'!$AC$5:$AC$364,0)),"")</f>
        <v/>
      </c>
    </row>
    <row r="21" spans="1:20" ht="15" customHeight="1" x14ac:dyDescent="0.35">
      <c r="A21" s="3" t="s">
        <v>18</v>
      </c>
      <c r="B21" s="46" t="s">
        <v>29</v>
      </c>
      <c r="C21" s="46"/>
      <c r="D21" s="46"/>
      <c r="E21" s="38" t="s">
        <v>30</v>
      </c>
      <c r="F21" s="38"/>
      <c r="G21" s="38" t="s">
        <v>11</v>
      </c>
      <c r="H21" s="38"/>
      <c r="R21" s="6">
        <v>8</v>
      </c>
      <c r="S21" s="7" t="str">
        <f>IFERROR(INDEX('Utilization Data'!$B$5:$B$364,MATCH(8,'Utilization Data'!$AC$5:$AC$364,0)),"")</f>
        <v/>
      </c>
      <c r="T21" s="8" t="str">
        <f>IFERROR(INDEX('Utilization Data'!$AB$5:$AB$364,MATCH(8,'Utilization Data'!$AC$5:$AC$364,0)),"")</f>
        <v/>
      </c>
    </row>
    <row r="22" spans="1:20" ht="15" customHeight="1" x14ac:dyDescent="0.35">
      <c r="A22" s="10">
        <v>1</v>
      </c>
      <c r="B22" s="47" t="str">
        <f>IFERROR(INDEX(ChartData!$E$2:$E$21,MATCH(1,ChartData!$Q$2:$Q$21,0)),"")</f>
        <v>FCV</v>
      </c>
      <c r="C22" s="47"/>
      <c r="D22" s="47"/>
      <c r="E22" s="48">
        <f>IFERROR(INDEX(ChartData!$P$2:$P$21,MATCH(1,ChartData!$Q$2:$Q$21,0)),"")</f>
        <v>12.5</v>
      </c>
      <c r="F22" s="48"/>
      <c r="G22" s="49" t="str">
        <f>IFERROR(INDEX(ChartData!$R$2:$R$21,MATCH(1,ChartData!$Q$2:$Q$21,0)),"")</f>
        <v/>
      </c>
      <c r="H22" s="49"/>
      <c r="R22" s="6">
        <v>9</v>
      </c>
      <c r="S22" s="7" t="str">
        <f>IFERROR(INDEX('Utilization Data'!$B$5:$B$364,MATCH(9,'Utilization Data'!$AC$5:$AC$364,0)),"")</f>
        <v/>
      </c>
      <c r="T22" s="8" t="str">
        <f>IFERROR(INDEX('Utilization Data'!$AB$5:$AB$364,MATCH(9,'Utilization Data'!$AC$5:$AC$364,0)),"")</f>
        <v/>
      </c>
    </row>
    <row r="23" spans="1:20" ht="15" customHeight="1" x14ac:dyDescent="0.35">
      <c r="A23" s="10">
        <v>2</v>
      </c>
      <c r="B23" s="47" t="str">
        <f>IFERROR(INDEX(ChartData!$E$2:$E$21,MATCH(2,ChartData!$Q$2:$Q$21,0)),"")</f>
        <v>Alpha Appraisal</v>
      </c>
      <c r="C23" s="47"/>
      <c r="D23" s="47"/>
      <c r="E23" s="48">
        <f>IFERROR(INDEX(ChartData!$P$2:$P$21,MATCH(2,ChartData!$Q$2:$Q$21,0)),"")</f>
        <v>37.25</v>
      </c>
      <c r="F23" s="48"/>
      <c r="G23" s="49">
        <f>IFERROR(INDEX(ChartData!$R$2:$R$21,MATCH(2,ChartData!$Q$2:$Q$21,0)),"")</f>
        <v>0.95</v>
      </c>
      <c r="H23" s="49"/>
      <c r="R23" s="6">
        <v>10</v>
      </c>
      <c r="S23" s="7" t="str">
        <f>IFERROR(INDEX('Utilization Data'!$B$5:$B$364,MATCH(10,'Utilization Data'!$AC$5:$AC$364,0)),"")</f>
        <v/>
      </c>
      <c r="T23" s="8" t="str">
        <f>IFERROR(INDEX('Utilization Data'!$AB$5:$AB$364,MATCH(10,'Utilization Data'!$AC$5:$AC$364,0)),"")</f>
        <v/>
      </c>
    </row>
    <row r="24" spans="1:20" ht="15" customHeight="1" x14ac:dyDescent="0.35">
      <c r="A24" s="10">
        <v>3</v>
      </c>
      <c r="B24" s="47" t="str">
        <f>IFERROR(INDEX(ChartData!$E$2:$E$21,MATCH(3,ChartData!$Q$2:$Q$21,0)),"")</f>
        <v>Southwest Property Consultants</v>
      </c>
      <c r="C24" s="47"/>
      <c r="D24" s="47"/>
      <c r="E24" s="48">
        <f>IFERROR(INDEX(ChartData!$P$2:$P$21,MATCH(3,ChartData!$Q$2:$Q$21,0)),"")</f>
        <v>49.75</v>
      </c>
      <c r="F24" s="48"/>
      <c r="G24" s="49" t="str">
        <f>IFERROR(INDEX(ChartData!$R$2:$R$21,MATCH(3,ChartData!$Q$2:$Q$21,0)),"")</f>
        <v/>
      </c>
      <c r="H24" s="49"/>
      <c r="R24" s="6">
        <v>11</v>
      </c>
      <c r="S24" s="7" t="str">
        <f>IFERROR(INDEX('Utilization Data'!$B$5:$B$364,MATCH(11,'Utilization Data'!$AC$5:$AC$364,0)),"")</f>
        <v/>
      </c>
      <c r="T24" s="8" t="str">
        <f>IFERROR(INDEX('Utilization Data'!$AB$5:$AB$364,MATCH(11,'Utilization Data'!$AC$5:$AC$364,0)),"")</f>
        <v/>
      </c>
    </row>
    <row r="25" spans="1:20" ht="15" customHeight="1" x14ac:dyDescent="0.35">
      <c r="A25" s="10">
        <v>4</v>
      </c>
      <c r="B25" s="47" t="str">
        <f>IFERROR(INDEX(ChartData!$E$2:$E$21,MATCH(4,ChartData!$Q$2:$Q$21,0)),"")</f>
        <v>DP Appraisal</v>
      </c>
      <c r="C25" s="47"/>
      <c r="D25" s="47"/>
      <c r="E25" s="48">
        <f>IFERROR(INDEX(ChartData!$P$2:$P$21,MATCH(4,ChartData!$Q$2:$Q$21,0)),"")</f>
        <v>48.5</v>
      </c>
      <c r="F25" s="48"/>
      <c r="G25" s="49">
        <f>IFERROR(INDEX(ChartData!$R$2:$R$21,MATCH(4,ChartData!$Q$2:$Q$21,0)),"")</f>
        <v>1</v>
      </c>
      <c r="H25" s="49"/>
      <c r="R25" s="6">
        <v>12</v>
      </c>
      <c r="S25" s="7" t="str">
        <f>IFERROR(INDEX('Utilization Data'!$B$5:$B$364,MATCH(12,'Utilization Data'!$AC$5:$AC$364,0)),"")</f>
        <v/>
      </c>
      <c r="T25" s="8" t="str">
        <f>IFERROR(INDEX('Utilization Data'!$AB$5:$AB$364,MATCH(12,'Utilization Data'!$AC$5:$AC$364,0)),"")</f>
        <v/>
      </c>
    </row>
    <row r="26" spans="1:20" ht="15" customHeight="1" x14ac:dyDescent="0.35">
      <c r="A26" s="10">
        <v>5</v>
      </c>
      <c r="B26" s="47" t="str">
        <f>IFERROR(INDEX(ChartData!$E$2:$E$21,MATCH(5,ChartData!$Q$2:$Q$21,0)),"")</f>
        <v/>
      </c>
      <c r="C26" s="47"/>
      <c r="D26" s="47"/>
      <c r="E26" s="48" t="str">
        <f>IFERROR(INDEX(ChartData!$P$2:$P$21,MATCH(5,ChartData!$Q$2:$Q$21,0)),"")</f>
        <v/>
      </c>
      <c r="F26" s="48"/>
      <c r="G26" s="49" t="str">
        <f>IFERROR(INDEX(ChartData!$R$2:$R$21,MATCH(5,ChartData!$Q$2:$Q$21,0)),"")</f>
        <v/>
      </c>
      <c r="H26" s="49"/>
      <c r="R26" s="6">
        <v>13</v>
      </c>
      <c r="S26" s="7" t="str">
        <f>IFERROR(INDEX('Utilization Data'!$B$5:$B$364,MATCH(13,'Utilization Data'!$AC$5:$AC$364,0)),"")</f>
        <v/>
      </c>
      <c r="T26" s="8" t="str">
        <f>IFERROR(INDEX('Utilization Data'!$AB$5:$AB$364,MATCH(13,'Utilization Data'!$AC$5:$AC$364,0)),"")</f>
        <v/>
      </c>
    </row>
    <row r="27" spans="1:20" ht="15" customHeight="1" x14ac:dyDescent="0.35">
      <c r="A27" s="10">
        <v>6</v>
      </c>
      <c r="B27" s="47" t="str">
        <f>IFERROR(INDEX(ChartData!$E$2:$E$21,MATCH(6,ChartData!$Q$2:$Q$21,0)),"")</f>
        <v/>
      </c>
      <c r="C27" s="47"/>
      <c r="D27" s="47"/>
      <c r="E27" s="48" t="str">
        <f>IFERROR(INDEX(ChartData!$P$2:$P$21,MATCH(6,ChartData!$Q$2:$Q$21,0)),"")</f>
        <v/>
      </c>
      <c r="F27" s="48"/>
      <c r="G27" s="49" t="str">
        <f>IFERROR(INDEX(ChartData!$R$2:$R$21,MATCH(6,ChartData!$Q$2:$Q$21,0)),"")</f>
        <v/>
      </c>
      <c r="H27" s="49"/>
      <c r="R27" s="6">
        <v>14</v>
      </c>
      <c r="S27" s="7" t="str">
        <f>IFERROR(INDEX('Utilization Data'!$B$5:$B$364,MATCH(14,'Utilization Data'!$AC$5:$AC$364,0)),"")</f>
        <v/>
      </c>
      <c r="T27" s="8" t="str">
        <f>IFERROR(INDEX('Utilization Data'!$AB$5:$AB$364,MATCH(14,'Utilization Data'!$AC$5:$AC$364,0)),"")</f>
        <v/>
      </c>
    </row>
    <row r="28" spans="1:20" ht="15" customHeight="1" x14ac:dyDescent="0.35">
      <c r="A28" s="10">
        <v>7</v>
      </c>
      <c r="B28" s="47" t="str">
        <f>IFERROR(INDEX(ChartData!$E$2:$E$21,MATCH(7,ChartData!$Q$2:$Q$21,0)),"")</f>
        <v/>
      </c>
      <c r="C28" s="47"/>
      <c r="D28" s="47"/>
      <c r="E28" s="48" t="str">
        <f>IFERROR(INDEX(ChartData!$P$2:$P$21,MATCH(7,ChartData!$Q$2:$Q$21,0)),"")</f>
        <v/>
      </c>
      <c r="F28" s="48"/>
      <c r="G28" s="49" t="str">
        <f>IFERROR(INDEX(ChartData!$R$2:$R$21,MATCH(7,ChartData!$Q$2:$Q$21,0)),"")</f>
        <v/>
      </c>
      <c r="H28" s="49"/>
      <c r="R28" s="6">
        <v>15</v>
      </c>
      <c r="S28" s="7" t="str">
        <f>IFERROR(INDEX('Utilization Data'!$B$5:$B$364,MATCH(15,'Utilization Data'!$AC$5:$AC$364,0)),"")</f>
        <v/>
      </c>
      <c r="T28" s="8" t="str">
        <f>IFERROR(INDEX('Utilization Data'!$AB$5:$AB$364,MATCH(15,'Utilization Data'!$AC$5:$AC$364,0)),"")</f>
        <v/>
      </c>
    </row>
    <row r="29" spans="1:20" ht="15" customHeight="1" x14ac:dyDescent="0.35">
      <c r="A29" s="10">
        <v>8</v>
      </c>
      <c r="B29" s="47" t="str">
        <f>IFERROR(INDEX(ChartData!$E$2:$E$21,MATCH(8,ChartData!$Q$2:$Q$21,0)),"")</f>
        <v/>
      </c>
      <c r="C29" s="47"/>
      <c r="D29" s="47"/>
      <c r="E29" s="48" t="str">
        <f>IFERROR(INDEX(ChartData!$P$2:$P$21,MATCH(8,ChartData!$Q$2:$Q$21,0)),"")</f>
        <v/>
      </c>
      <c r="F29" s="48"/>
      <c r="G29" s="49" t="str">
        <f>IFERROR(INDEX(ChartData!$R$2:$R$21,MATCH(8,ChartData!$Q$2:$Q$21,0)),"")</f>
        <v/>
      </c>
      <c r="H29" s="49"/>
      <c r="R29" s="6">
        <v>16</v>
      </c>
      <c r="S29" s="7" t="str">
        <f>IFERROR(INDEX('Utilization Data'!$B$5:$B$364,MATCH(16,'Utilization Data'!$AC$5:$AC$364,0)),"")</f>
        <v/>
      </c>
      <c r="T29" s="8" t="str">
        <f>IFERROR(INDEX('Utilization Data'!$AB$5:$AB$364,MATCH(16,'Utilization Data'!$AC$5:$AC$364,0)),"")</f>
        <v/>
      </c>
    </row>
    <row r="30" spans="1:20" ht="15" customHeight="1" x14ac:dyDescent="0.35">
      <c r="A30" s="10">
        <v>9</v>
      </c>
      <c r="B30" s="47" t="str">
        <f>IFERROR(INDEX(ChartData!$E$2:$E$21,MATCH(9,ChartData!$Q$2:$Q$21,0)),"")</f>
        <v/>
      </c>
      <c r="C30" s="47"/>
      <c r="D30" s="47"/>
      <c r="E30" s="48" t="str">
        <f>IFERROR(INDEX(ChartData!$P$2:$P$21,MATCH(9,ChartData!$Q$2:$Q$21,0)),"")</f>
        <v/>
      </c>
      <c r="F30" s="48"/>
      <c r="G30" s="49" t="str">
        <f>IFERROR(INDEX(ChartData!$R$2:$R$21,MATCH(9,ChartData!$Q$2:$Q$21,0)),"")</f>
        <v/>
      </c>
      <c r="H30" s="49"/>
      <c r="R30" s="6">
        <v>17</v>
      </c>
      <c r="S30" s="7" t="str">
        <f>IFERROR(INDEX('Utilization Data'!$B$5:$B$364,MATCH(17,'Utilization Data'!$AC$5:$AC$364,0)),"")</f>
        <v/>
      </c>
      <c r="T30" s="8" t="str">
        <f>IFERROR(INDEX('Utilization Data'!$AB$5:$AB$364,MATCH(17,'Utilization Data'!$AC$5:$AC$364,0)),"")</f>
        <v/>
      </c>
    </row>
    <row r="31" spans="1:20" ht="15" customHeight="1" x14ac:dyDescent="0.35">
      <c r="A31" s="10">
        <v>10</v>
      </c>
      <c r="B31" s="47" t="str">
        <f>IFERROR(INDEX(ChartData!$E$2:$E$21,MATCH(10,ChartData!$Q$2:$Q$21,0)),"")</f>
        <v/>
      </c>
      <c r="C31" s="47"/>
      <c r="D31" s="47"/>
      <c r="E31" s="48" t="str">
        <f>IFERROR(INDEX(ChartData!$P$2:$P$21,MATCH(10,ChartData!$Q$2:$Q$21,0)),"")</f>
        <v/>
      </c>
      <c r="F31" s="48"/>
      <c r="G31" s="49" t="str">
        <f>IFERROR(INDEX(ChartData!$R$2:$R$21,MATCH(10,ChartData!$Q$2:$Q$21,0)),"")</f>
        <v/>
      </c>
      <c r="H31" s="49"/>
      <c r="R31" s="6">
        <v>18</v>
      </c>
      <c r="S31" s="7" t="str">
        <f>IFERROR(INDEX('Utilization Data'!$B$5:$B$364,MATCH(18,'Utilization Data'!$AC$5:$AC$364,0)),"")</f>
        <v/>
      </c>
      <c r="T31" s="8" t="str">
        <f>IFERROR(INDEX('Utilization Data'!$AB$5:$AB$364,MATCH(18,'Utilization Data'!$AC$5:$AC$364,0)),"")</f>
        <v/>
      </c>
    </row>
    <row r="32" spans="1:20" ht="15" customHeight="1" x14ac:dyDescent="0.35">
      <c r="A32" s="10">
        <v>11</v>
      </c>
      <c r="B32" s="47" t="str">
        <f>IFERROR(INDEX(ChartData!$E$2:$E$21,MATCH(11,ChartData!$Q$2:$Q$21,0)),"")</f>
        <v/>
      </c>
      <c r="C32" s="47"/>
      <c r="D32" s="47"/>
      <c r="E32" s="48" t="str">
        <f>IFERROR(INDEX(ChartData!$P$2:$P$21,MATCH(11,ChartData!$Q$2:$Q$21,0)),"")</f>
        <v/>
      </c>
      <c r="F32" s="48"/>
      <c r="G32" s="49" t="str">
        <f>IFERROR(INDEX(ChartData!$R$2:$R$21,MATCH(11,ChartData!$Q$2:$Q$21,0)),"")</f>
        <v/>
      </c>
      <c r="H32" s="49"/>
      <c r="R32" s="6">
        <v>19</v>
      </c>
      <c r="S32" s="7" t="str">
        <f>IFERROR(INDEX('Utilization Data'!$B$5:$B$364,MATCH(19,'Utilization Data'!$AC$5:$AC$364,0)),"")</f>
        <v/>
      </c>
      <c r="T32" s="8" t="str">
        <f>IFERROR(INDEX('Utilization Data'!$AB$5:$AB$364,MATCH(19,'Utilization Data'!$AC$5:$AC$364,0)),"")</f>
        <v/>
      </c>
    </row>
    <row r="33" spans="1:20" ht="15" customHeight="1" x14ac:dyDescent="0.35">
      <c r="A33" s="10">
        <v>12</v>
      </c>
      <c r="B33" s="47" t="str">
        <f>IFERROR(INDEX(ChartData!$E$2:$E$21,MATCH(12,ChartData!$Q$2:$Q$21,0)),"")</f>
        <v/>
      </c>
      <c r="C33" s="47"/>
      <c r="D33" s="47"/>
      <c r="E33" s="48" t="str">
        <f>IFERROR(INDEX(ChartData!$P$2:$P$21,MATCH(12,ChartData!$Q$2:$Q$21,0)),"")</f>
        <v/>
      </c>
      <c r="F33" s="48"/>
      <c r="G33" s="49" t="str">
        <f>IFERROR(INDEX(ChartData!$R$2:$R$21,MATCH(12,ChartData!$Q$2:$Q$21,0)),"")</f>
        <v/>
      </c>
      <c r="H33" s="49"/>
      <c r="R33" s="6">
        <v>20</v>
      </c>
      <c r="S33" s="7" t="str">
        <f>IFERROR(INDEX('Utilization Data'!$B$5:$B$364,MATCH(20,'Utilization Data'!$AC$5:$AC$364,0)),"")</f>
        <v/>
      </c>
      <c r="T33" s="8" t="str">
        <f>IFERROR(INDEX('Utilization Data'!$AB$5:$AB$364,MATCH(20,'Utilization Data'!$AC$5:$AC$364,0)),"")</f>
        <v/>
      </c>
    </row>
    <row r="34" spans="1:20" ht="15" customHeight="1" x14ac:dyDescent="0.35">
      <c r="A34" s="10">
        <v>13</v>
      </c>
      <c r="B34" s="47" t="str">
        <f>IFERROR(INDEX(ChartData!$E$2:$E$21,MATCH(13,ChartData!$Q$2:$Q$21,0)),"")</f>
        <v/>
      </c>
      <c r="C34" s="47"/>
      <c r="D34" s="47"/>
      <c r="E34" s="48" t="str">
        <f>IFERROR(INDEX(ChartData!$P$2:$P$21,MATCH(13,ChartData!$Q$2:$Q$21,0)),"")</f>
        <v/>
      </c>
      <c r="F34" s="48"/>
      <c r="G34" s="49" t="str">
        <f>IFERROR(INDEX(ChartData!$R$2:$R$21,MATCH(13,ChartData!$Q$2:$Q$21,0)),"")</f>
        <v/>
      </c>
      <c r="H34" s="49"/>
      <c r="R34" s="6">
        <v>21</v>
      </c>
      <c r="S34" s="7" t="str">
        <f>IFERROR(INDEX('Utilization Data'!$B$5:$B$364,MATCH(21,'Utilization Data'!$AC$5:$AC$364,0)),"")</f>
        <v/>
      </c>
      <c r="T34" s="8" t="str">
        <f>IFERROR(INDEX('Utilization Data'!$AB$5:$AB$364,MATCH(21,'Utilization Data'!$AC$5:$AC$364,0)),"")</f>
        <v/>
      </c>
    </row>
    <row r="35" spans="1:20" ht="15" customHeight="1" x14ac:dyDescent="0.35">
      <c r="A35" s="10">
        <v>14</v>
      </c>
      <c r="B35" s="47" t="str">
        <f>IFERROR(INDEX(ChartData!$E$2:$E$21,MATCH(14,ChartData!$Q$2:$Q$21,0)),"")</f>
        <v/>
      </c>
      <c r="C35" s="47"/>
      <c r="D35" s="47"/>
      <c r="E35" s="48" t="str">
        <f>IFERROR(INDEX(ChartData!$P$2:$P$21,MATCH(14,ChartData!$Q$2:$Q$21,0)),"")</f>
        <v/>
      </c>
      <c r="F35" s="48"/>
      <c r="G35" s="49" t="str">
        <f>IFERROR(INDEX(ChartData!$R$2:$R$21,MATCH(14,ChartData!$Q$2:$Q$21,0)),"")</f>
        <v/>
      </c>
      <c r="H35" s="49"/>
      <c r="R35" s="6">
        <v>22</v>
      </c>
      <c r="S35" s="7" t="str">
        <f>IFERROR(INDEX('Utilization Data'!$B$5:$B$364,MATCH(22,'Utilization Data'!$AC$5:$AC$364,0)),"")</f>
        <v/>
      </c>
      <c r="T35" s="8" t="str">
        <f>IFERROR(INDEX('Utilization Data'!$AB$5:$AB$364,MATCH(22,'Utilization Data'!$AC$5:$AC$364,0)),"")</f>
        <v/>
      </c>
    </row>
    <row r="36" spans="1:20" ht="15" customHeight="1" x14ac:dyDescent="0.35">
      <c r="A36" s="10">
        <v>15</v>
      </c>
      <c r="B36" s="47" t="str">
        <f>IFERROR(INDEX(ChartData!$E$2:$E$21,MATCH(15,ChartData!$Q$2:$Q$21,0)),"")</f>
        <v/>
      </c>
      <c r="C36" s="47"/>
      <c r="D36" s="47"/>
      <c r="E36" s="48" t="str">
        <f>IFERROR(INDEX(ChartData!$P$2:$P$21,MATCH(15,ChartData!$Q$2:$Q$21,0)),"")</f>
        <v/>
      </c>
      <c r="F36" s="48"/>
      <c r="G36" s="49" t="str">
        <f>IFERROR(INDEX(ChartData!$R$2:$R$21,MATCH(15,ChartData!$Q$2:$Q$21,0)),"")</f>
        <v/>
      </c>
      <c r="H36" s="49"/>
      <c r="R36" s="6">
        <v>23</v>
      </c>
      <c r="S36" s="7" t="str">
        <f>IFERROR(INDEX('Utilization Data'!$B$5:$B$364,MATCH(23,'Utilization Data'!$AC$5:$AC$364,0)),"")</f>
        <v/>
      </c>
      <c r="T36" s="8" t="str">
        <f>IFERROR(INDEX('Utilization Data'!$AB$5:$AB$364,MATCH(23,'Utilization Data'!$AC$5:$AC$364,0)),"")</f>
        <v/>
      </c>
    </row>
    <row r="37" spans="1:20" ht="15" customHeight="1" x14ac:dyDescent="0.35">
      <c r="A37" s="10">
        <v>16</v>
      </c>
      <c r="B37" s="47" t="str">
        <f>IFERROR(INDEX(ChartData!$E$2:$E$21,MATCH(16,ChartData!$Q$2:$Q$21,0)),"")</f>
        <v/>
      </c>
      <c r="C37" s="47"/>
      <c r="D37" s="47"/>
      <c r="E37" s="48" t="str">
        <f>IFERROR(INDEX(ChartData!$P$2:$P$21,MATCH(16,ChartData!$Q$2:$Q$21,0)),"")</f>
        <v/>
      </c>
      <c r="F37" s="48"/>
      <c r="G37" s="49" t="str">
        <f>IFERROR(INDEX(ChartData!$R$2:$R$21,MATCH(16,ChartData!$Q$2:$Q$21,0)),"")</f>
        <v/>
      </c>
      <c r="H37" s="49"/>
      <c r="R37" s="6">
        <v>24</v>
      </c>
      <c r="S37" s="7" t="str">
        <f>IFERROR(INDEX('Utilization Data'!$B$5:$B$364,MATCH(24,'Utilization Data'!$AC$5:$AC$364,0)),"")</f>
        <v/>
      </c>
      <c r="T37" s="8" t="str">
        <f>IFERROR(INDEX('Utilization Data'!$AB$5:$AB$364,MATCH(24,'Utilization Data'!$AC$5:$AC$364,0)),"")</f>
        <v/>
      </c>
    </row>
    <row r="38" spans="1:20" ht="15" customHeight="1" x14ac:dyDescent="0.35">
      <c r="A38" s="10">
        <v>17</v>
      </c>
      <c r="B38" s="47" t="str">
        <f>IFERROR(INDEX(ChartData!$E$2:$E$21,MATCH(17,ChartData!$Q$2:$Q$21,0)),"")</f>
        <v/>
      </c>
      <c r="C38" s="47"/>
      <c r="D38" s="47"/>
      <c r="E38" s="48" t="str">
        <f>IFERROR(INDEX(ChartData!$P$2:$P$21,MATCH(17,ChartData!$Q$2:$Q$21,0)),"")</f>
        <v/>
      </c>
      <c r="F38" s="48"/>
      <c r="G38" s="49" t="str">
        <f>IFERROR(INDEX(ChartData!$R$2:$R$21,MATCH(17,ChartData!$Q$2:$Q$21,0)),"")</f>
        <v/>
      </c>
      <c r="H38" s="49"/>
      <c r="R38" s="6">
        <v>25</v>
      </c>
      <c r="S38" s="7" t="str">
        <f>IFERROR(INDEX('Utilization Data'!$B$5:$B$364,MATCH(25,'Utilization Data'!$AC$5:$AC$364,0)),"")</f>
        <v/>
      </c>
      <c r="T38" s="8" t="str">
        <f>IFERROR(INDEX('Utilization Data'!$AB$5:$AB$364,MATCH(25,'Utilization Data'!$AC$5:$AC$364,0)),"")</f>
        <v/>
      </c>
    </row>
    <row r="39" spans="1:20" ht="15" customHeight="1" x14ac:dyDescent="0.35">
      <c r="A39" s="10">
        <v>18</v>
      </c>
      <c r="B39" s="47" t="str">
        <f>IFERROR(INDEX(ChartData!$E$2:$E$21,MATCH(18,ChartData!$Q$2:$Q$21,0)),"")</f>
        <v/>
      </c>
      <c r="C39" s="47"/>
      <c r="D39" s="47"/>
      <c r="E39" s="48" t="str">
        <f>IFERROR(INDEX(ChartData!$P$2:$P$21,MATCH(18,ChartData!$Q$2:$Q$21,0)),"")</f>
        <v/>
      </c>
      <c r="F39" s="48"/>
      <c r="G39" s="49" t="str">
        <f>IFERROR(INDEX(ChartData!$R$2:$R$21,MATCH(18,ChartData!$Q$2:$Q$21,0)),"")</f>
        <v/>
      </c>
      <c r="H39" s="49"/>
      <c r="R39" s="6">
        <v>26</v>
      </c>
      <c r="S39" s="7" t="str">
        <f>IFERROR(INDEX('Utilization Data'!$B$5:$B$364,MATCH(26,'Utilization Data'!$AC$5:$AC$364,0)),"")</f>
        <v/>
      </c>
      <c r="T39" s="8" t="str">
        <f>IFERROR(INDEX('Utilization Data'!$AB$5:$AB$364,MATCH(26,'Utilization Data'!$AC$5:$AC$364,0)),"")</f>
        <v/>
      </c>
    </row>
    <row r="40" spans="1:20" ht="15" customHeight="1" x14ac:dyDescent="0.35">
      <c r="A40" s="10">
        <v>19</v>
      </c>
      <c r="B40" s="47" t="str">
        <f>IFERROR(INDEX(ChartData!$E$2:$E$21,MATCH(19,ChartData!$Q$2:$Q$21,0)),"")</f>
        <v/>
      </c>
      <c r="C40" s="47"/>
      <c r="D40" s="47"/>
      <c r="E40" s="48" t="str">
        <f>IFERROR(INDEX(ChartData!$P$2:$P$21,MATCH(19,ChartData!$Q$2:$Q$21,0)),"")</f>
        <v/>
      </c>
      <c r="F40" s="48"/>
      <c r="G40" s="49" t="str">
        <f>IFERROR(INDEX(ChartData!$R$2:$R$21,MATCH(19,ChartData!$Q$2:$Q$21,0)),"")</f>
        <v/>
      </c>
      <c r="H40" s="49"/>
      <c r="R40" s="6">
        <v>27</v>
      </c>
      <c r="S40" s="7" t="str">
        <f>IFERROR(INDEX('Utilization Data'!$B$5:$B$364,MATCH(27,'Utilization Data'!$AC$5:$AC$364,0)),"")</f>
        <v/>
      </c>
      <c r="T40" s="8" t="str">
        <f>IFERROR(INDEX('Utilization Data'!$AB$5:$AB$364,MATCH(27,'Utilization Data'!$AC$5:$AC$364,0)),"")</f>
        <v/>
      </c>
    </row>
    <row r="41" spans="1:20" ht="15" customHeight="1" x14ac:dyDescent="0.35">
      <c r="A41" s="10">
        <v>20</v>
      </c>
      <c r="B41" s="47" t="str">
        <f>IFERROR(INDEX(ChartData!$E$2:$E$21,MATCH(20,ChartData!$Q$2:$Q$21,0)),"")</f>
        <v/>
      </c>
      <c r="C41" s="47"/>
      <c r="D41" s="47"/>
      <c r="E41" s="48" t="str">
        <f>IFERROR(INDEX(ChartData!$P$2:$P$21,MATCH(20,ChartData!$Q$2:$Q$21,0)),"")</f>
        <v/>
      </c>
      <c r="F41" s="48"/>
      <c r="G41" s="49" t="str">
        <f>IFERROR(INDEX(ChartData!$R$2:$R$21,MATCH(20,ChartData!$Q$2:$Q$21,0)),"")</f>
        <v/>
      </c>
      <c r="H41" s="49"/>
      <c r="R41" s="6">
        <v>28</v>
      </c>
      <c r="S41" s="7" t="str">
        <f>IFERROR(INDEX('Utilization Data'!$B$5:$B$364,MATCH(28,'Utilization Data'!$AC$5:$AC$364,0)),"")</f>
        <v/>
      </c>
      <c r="T41" s="8" t="str">
        <f>IFERROR(INDEX('Utilization Data'!$AB$5:$AB$364,MATCH(28,'Utilization Data'!$AC$5:$AC$364,0)),"")</f>
        <v/>
      </c>
    </row>
    <row r="42" spans="1:20" ht="19.5" customHeight="1" x14ac:dyDescent="0.35">
      <c r="A42" s="51" t="s">
        <v>32</v>
      </c>
      <c r="B42" s="51"/>
      <c r="C42" s="51"/>
      <c r="D42" s="51"/>
      <c r="E42" s="52">
        <f>SUM(E22:E41)</f>
        <v>148</v>
      </c>
      <c r="F42" s="52"/>
      <c r="G42" s="53">
        <f>A19</f>
        <v>0.97827988338192406</v>
      </c>
      <c r="H42" s="53"/>
      <c r="R42" s="6">
        <v>29</v>
      </c>
      <c r="S42" s="7" t="str">
        <f>IFERROR(INDEX('Utilization Data'!$B$5:$B$364,MATCH(29,'Utilization Data'!$AC$5:$AC$364,0)),"")</f>
        <v/>
      </c>
      <c r="T42" s="8" t="str">
        <f>IFERROR(INDEX('Utilization Data'!$AB$5:$AB$364,MATCH(29,'Utilization Data'!$AC$5:$AC$364,0)),"")</f>
        <v/>
      </c>
    </row>
    <row r="43" spans="1:20" ht="15" customHeight="1" x14ac:dyDescent="0.35">
      <c r="A43" s="50" t="str">
        <f>IF(COUNTIF(E22:E41,"&gt;0")=0,"No client hours for this selection","Avg "&amp;TEXT(E42/COUNTIF(E22:E41,"&gt;0"),"0.0")&amp;" hrs / client")</f>
        <v>Avg 37.0 hrs / client</v>
      </c>
      <c r="B43" s="50"/>
      <c r="C43" s="50"/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6">
        <v>30</v>
      </c>
      <c r="S43" s="7" t="str">
        <f>IFERROR(INDEX('Utilization Data'!$B$5:$B$364,MATCH(30,'Utilization Data'!$AC$5:$AC$364,0)),"")</f>
        <v/>
      </c>
      <c r="T43" s="8" t="str">
        <f>IFERROR(INDEX('Utilization Data'!$AB$5:$AB$364,MATCH(30,'Utilization Data'!$AC$5:$AC$364,0)),"")</f>
        <v/>
      </c>
    </row>
    <row r="44" spans="1:20" ht="19.5" customHeight="1" x14ac:dyDescent="0.35">
      <c r="R44" s="6">
        <v>31</v>
      </c>
      <c r="S44" s="7" t="str">
        <f>IFERROR(INDEX('Utilization Data'!$B$5:$B$364,MATCH(31,'Utilization Data'!$AC$5:$AC$364,0)),"")</f>
        <v/>
      </c>
      <c r="T44" s="8" t="str">
        <f>IFERROR(INDEX('Utilization Data'!$AB$5:$AB$364,MATCH(31,'Utilization Data'!$AC$5:$AC$364,0)),"")</f>
        <v/>
      </c>
    </row>
    <row r="45" spans="1:20" ht="15" customHeight="1" x14ac:dyDescent="0.35">
      <c r="R45" s="6">
        <v>32</v>
      </c>
      <c r="S45" s="7" t="str">
        <f>IFERROR(INDEX('Utilization Data'!$B$5:$B$364,MATCH(32,'Utilization Data'!$AC$5:$AC$364,0)),"")</f>
        <v/>
      </c>
      <c r="T45" s="8" t="str">
        <f>IFERROR(INDEX('Utilization Data'!$AB$5:$AB$364,MATCH(32,'Utilization Data'!$AC$5:$AC$364,0)),"")</f>
        <v/>
      </c>
    </row>
    <row r="46" spans="1:20" ht="19.5" customHeight="1" x14ac:dyDescent="0.35">
      <c r="R46" s="6">
        <v>33</v>
      </c>
      <c r="S46" s="7" t="str">
        <f>IFERROR(INDEX('Utilization Data'!$B$5:$B$364,MATCH(33,'Utilization Data'!$AC$5:$AC$364,0)),"")</f>
        <v/>
      </c>
      <c r="T46" s="8" t="str">
        <f>IFERROR(INDEX('Utilization Data'!$AB$5:$AB$364,MATCH(33,'Utilization Data'!$AC$5:$AC$364,0)),"")</f>
        <v/>
      </c>
    </row>
    <row r="47" spans="1:20" ht="30" customHeight="1" x14ac:dyDescent="0.35">
      <c r="R47" s="6">
        <v>34</v>
      </c>
      <c r="S47" s="7" t="str">
        <f>IFERROR(INDEX('Utilization Data'!$B$5:$B$364,MATCH(34,'Utilization Data'!$AC$5:$AC$364,0)),"")</f>
        <v/>
      </c>
      <c r="T47" s="8" t="str">
        <f>IFERROR(INDEX('Utilization Data'!$AB$5:$AB$364,MATCH(34,'Utilization Data'!$AC$5:$AC$364,0)),"")</f>
        <v/>
      </c>
    </row>
    <row r="48" spans="1:20" ht="19.5" customHeight="1" x14ac:dyDescent="0.35">
      <c r="R48" s="6">
        <v>35</v>
      </c>
      <c r="S48" s="7" t="str">
        <f>IFERROR(INDEX('Utilization Data'!$B$5:$B$364,MATCH(35,'Utilization Data'!$AC$5:$AC$364,0)),"")</f>
        <v/>
      </c>
      <c r="T48" s="8" t="str">
        <f>IFERROR(INDEX('Utilization Data'!$AB$5:$AB$364,MATCH(35,'Utilization Data'!$AC$5:$AC$364,0)),"")</f>
        <v/>
      </c>
    </row>
    <row r="49" spans="1:20" ht="30" customHeight="1" x14ac:dyDescent="0.35">
      <c r="R49" s="6">
        <v>36</v>
      </c>
      <c r="S49" s="7" t="str">
        <f>IFERROR(INDEX('Utilization Data'!$B$5:$B$364,MATCH(36,'Utilization Data'!$AC$5:$AC$364,0)),"")</f>
        <v/>
      </c>
      <c r="T49" s="8" t="str">
        <f>IFERROR(INDEX('Utilization Data'!$AB$5:$AB$364,MATCH(36,'Utilization Data'!$AC$5:$AC$364,0)),"")</f>
        <v/>
      </c>
    </row>
    <row r="50" spans="1:20" ht="15" customHeight="1" x14ac:dyDescent="0.35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6">
        <v>37</v>
      </c>
      <c r="S50" s="7" t="str">
        <f>IFERROR(INDEX('Utilization Data'!$B$5:$B$364,MATCH(37,'Utilization Data'!$AC$5:$AC$364,0)),"")</f>
        <v/>
      </c>
      <c r="T50" s="8" t="str">
        <f>IFERROR(INDEX('Utilization Data'!$AB$5:$AB$364,MATCH(37,'Utilization Data'!$AC$5:$AC$364,0)),"")</f>
        <v/>
      </c>
    </row>
    <row r="51" spans="1:20" ht="18" customHeight="1" x14ac:dyDescent="0.35">
      <c r="I51" s="9"/>
      <c r="J51" s="9"/>
      <c r="K51" s="9"/>
      <c r="L51" s="9"/>
      <c r="M51" s="9"/>
      <c r="N51" s="9"/>
      <c r="O51" s="9"/>
      <c r="P51" s="9"/>
      <c r="Q51" s="9"/>
      <c r="R51" s="6">
        <v>38</v>
      </c>
      <c r="S51" s="7" t="str">
        <f>IFERROR(INDEX('Utilization Data'!$B$5:$B$364,MATCH(38,'Utilization Data'!$AC$5:$AC$364,0)),"")</f>
        <v/>
      </c>
      <c r="T51" s="8" t="str">
        <f>IFERROR(INDEX('Utilization Data'!$AB$5:$AB$364,MATCH(38,'Utilization Data'!$AC$5:$AC$364,0)),"")</f>
        <v/>
      </c>
    </row>
    <row r="52" spans="1:20" ht="15" customHeight="1" x14ac:dyDescent="0.35">
      <c r="I52" s="9"/>
      <c r="J52" s="9"/>
      <c r="K52" s="9"/>
      <c r="L52" s="9"/>
      <c r="M52" s="9"/>
      <c r="N52" s="9"/>
      <c r="O52" s="9"/>
      <c r="P52" s="9"/>
      <c r="Q52" s="9"/>
      <c r="R52" s="6">
        <v>39</v>
      </c>
      <c r="S52" s="7" t="str">
        <f>IFERROR(INDEX('Utilization Data'!$B$5:$B$364,MATCH(39,'Utilization Data'!$AC$5:$AC$364,0)),"")</f>
        <v/>
      </c>
      <c r="T52" s="8" t="str">
        <f>IFERROR(INDEX('Utilization Data'!$AB$5:$AB$364,MATCH(39,'Utilization Data'!$AC$5:$AC$364,0)),"")</f>
        <v/>
      </c>
    </row>
    <row r="53" spans="1:20" ht="15" customHeight="1" x14ac:dyDescent="0.35">
      <c r="I53" s="9"/>
      <c r="J53" s="9"/>
      <c r="K53" s="9"/>
      <c r="L53" s="9"/>
      <c r="M53" s="9"/>
      <c r="N53" s="9"/>
      <c r="O53" s="9"/>
      <c r="P53" s="9"/>
      <c r="Q53" s="9"/>
      <c r="R53" s="6">
        <v>40</v>
      </c>
      <c r="S53" s="7" t="str">
        <f>IFERROR(INDEX('Utilization Data'!$B$5:$B$364,MATCH(40,'Utilization Data'!$AC$5:$AC$364,0)),"")</f>
        <v/>
      </c>
      <c r="T53" s="8" t="str">
        <f>IFERROR(INDEX('Utilization Data'!$AB$5:$AB$364,MATCH(40,'Utilization Data'!$AC$5:$AC$364,0)),"")</f>
        <v/>
      </c>
    </row>
    <row r="54" spans="1:20" ht="15" customHeight="1" x14ac:dyDescent="0.35">
      <c r="I54" s="9"/>
      <c r="J54" s="9"/>
      <c r="K54" s="9"/>
      <c r="L54" s="9"/>
      <c r="M54" s="9"/>
      <c r="N54" s="9"/>
      <c r="O54" s="9"/>
      <c r="P54" s="9"/>
      <c r="Q54" s="9"/>
      <c r="R54" s="6">
        <v>41</v>
      </c>
      <c r="S54" s="7" t="str">
        <f>IFERROR(INDEX('Utilization Data'!$B$5:$B$364,MATCH(41,'Utilization Data'!$AC$5:$AC$364,0)),"")</f>
        <v/>
      </c>
      <c r="T54" s="8" t="str">
        <f>IFERROR(INDEX('Utilization Data'!$AB$5:$AB$364,MATCH(41,'Utilization Data'!$AC$5:$AC$364,0)),"")</f>
        <v/>
      </c>
    </row>
    <row r="55" spans="1:20" ht="15" customHeight="1" x14ac:dyDescent="0.35">
      <c r="I55" s="9"/>
      <c r="J55" s="9"/>
      <c r="K55" s="9"/>
      <c r="L55" s="9"/>
      <c r="M55" s="9"/>
      <c r="N55" s="9"/>
      <c r="O55" s="9"/>
      <c r="P55" s="9"/>
      <c r="Q55" s="9"/>
      <c r="R55" s="6">
        <v>42</v>
      </c>
      <c r="S55" s="7" t="str">
        <f>IFERROR(INDEX('Utilization Data'!$B$5:$B$364,MATCH(42,'Utilization Data'!$AC$5:$AC$364,0)),"")</f>
        <v/>
      </c>
      <c r="T55" s="8" t="str">
        <f>IFERROR(INDEX('Utilization Data'!$AB$5:$AB$364,MATCH(42,'Utilization Data'!$AC$5:$AC$364,0)),"")</f>
        <v/>
      </c>
    </row>
    <row r="56" spans="1:20" ht="15" customHeight="1" x14ac:dyDescent="0.35">
      <c r="I56" s="9"/>
      <c r="J56" s="9"/>
      <c r="K56" s="9"/>
      <c r="L56" s="9"/>
      <c r="M56" s="9"/>
      <c r="N56" s="9"/>
      <c r="O56" s="9"/>
      <c r="P56" s="9"/>
      <c r="Q56" s="9"/>
      <c r="R56" s="6">
        <v>43</v>
      </c>
      <c r="S56" s="7" t="str">
        <f>IFERROR(INDEX('Utilization Data'!$B$5:$B$364,MATCH(43,'Utilization Data'!$AC$5:$AC$364,0)),"")</f>
        <v/>
      </c>
      <c r="T56" s="8" t="str">
        <f>IFERROR(INDEX('Utilization Data'!$AB$5:$AB$364,MATCH(43,'Utilization Data'!$AC$5:$AC$364,0)),"")</f>
        <v/>
      </c>
    </row>
    <row r="57" spans="1:20" ht="15" customHeight="1" x14ac:dyDescent="0.35">
      <c r="I57" s="9"/>
      <c r="J57" s="9"/>
      <c r="K57" s="9"/>
      <c r="L57" s="9"/>
      <c r="M57" s="9"/>
      <c r="N57" s="9"/>
      <c r="O57" s="9"/>
      <c r="P57" s="9"/>
      <c r="Q57" s="9"/>
      <c r="R57" s="6">
        <v>44</v>
      </c>
      <c r="S57" s="7" t="str">
        <f>IFERROR(INDEX('Utilization Data'!$B$5:$B$364,MATCH(44,'Utilization Data'!$AC$5:$AC$364,0)),"")</f>
        <v/>
      </c>
      <c r="T57" s="8" t="str">
        <f>IFERROR(INDEX('Utilization Data'!$AB$5:$AB$364,MATCH(44,'Utilization Data'!$AC$5:$AC$364,0)),"")</f>
        <v/>
      </c>
    </row>
    <row r="58" spans="1:20" ht="15" customHeight="1" x14ac:dyDescent="0.35">
      <c r="I58" s="9"/>
      <c r="J58" s="9"/>
      <c r="K58" s="9"/>
      <c r="L58" s="9"/>
      <c r="M58" s="9"/>
      <c r="N58" s="9"/>
      <c r="O58" s="9"/>
      <c r="P58" s="9"/>
      <c r="Q58" s="9"/>
      <c r="R58" s="6">
        <v>45</v>
      </c>
      <c r="S58" s="7" t="str">
        <f>IFERROR(INDEX('Utilization Data'!$B$5:$B$364,MATCH(45,'Utilization Data'!$AC$5:$AC$364,0)),"")</f>
        <v/>
      </c>
      <c r="T58" s="8" t="str">
        <f>IFERROR(INDEX('Utilization Data'!$AB$5:$AB$364,MATCH(45,'Utilization Data'!$AC$5:$AC$364,0)),"")</f>
        <v/>
      </c>
    </row>
    <row r="59" spans="1:20" ht="15" customHeight="1" x14ac:dyDescent="0.35">
      <c r="I59" s="9"/>
      <c r="J59" s="9"/>
      <c r="K59" s="9"/>
      <c r="L59" s="9"/>
      <c r="M59" s="9"/>
      <c r="N59" s="9"/>
      <c r="O59" s="9"/>
      <c r="P59" s="9"/>
      <c r="Q59" s="9"/>
      <c r="R59" s="6">
        <v>46</v>
      </c>
      <c r="S59" s="7" t="str">
        <f>IFERROR(INDEX('Utilization Data'!$B$5:$B$364,MATCH(46,'Utilization Data'!$AC$5:$AC$364,0)),"")</f>
        <v/>
      </c>
      <c r="T59" s="8" t="str">
        <f>IFERROR(INDEX('Utilization Data'!$AB$5:$AB$364,MATCH(46,'Utilization Data'!$AC$5:$AC$364,0)),"")</f>
        <v/>
      </c>
    </row>
    <row r="60" spans="1:20" ht="15" customHeight="1" x14ac:dyDescent="0.35">
      <c r="I60" s="9"/>
      <c r="J60" s="9"/>
      <c r="K60" s="9"/>
      <c r="L60" s="9"/>
      <c r="M60" s="9"/>
      <c r="N60" s="9"/>
      <c r="O60" s="9"/>
      <c r="P60" s="9"/>
      <c r="Q60" s="9"/>
      <c r="R60" s="6">
        <v>47</v>
      </c>
      <c r="S60" s="7" t="str">
        <f>IFERROR(INDEX('Utilization Data'!$B$5:$B$364,MATCH(47,'Utilization Data'!$AC$5:$AC$364,0)),"")</f>
        <v/>
      </c>
      <c r="T60" s="8" t="str">
        <f>IFERROR(INDEX('Utilization Data'!$AB$5:$AB$364,MATCH(47,'Utilization Data'!$AC$5:$AC$364,0)),"")</f>
        <v/>
      </c>
    </row>
    <row r="61" spans="1:20" ht="15" customHeight="1" x14ac:dyDescent="0.35">
      <c r="I61" s="9"/>
      <c r="J61" s="9"/>
      <c r="K61" s="9"/>
      <c r="L61" s="9"/>
      <c r="M61" s="9"/>
      <c r="N61" s="9"/>
      <c r="O61" s="9"/>
      <c r="P61" s="9"/>
      <c r="Q61" s="9"/>
      <c r="R61" s="6">
        <v>48</v>
      </c>
      <c r="S61" s="7" t="str">
        <f>IFERROR(INDEX('Utilization Data'!$B$5:$B$364,MATCH(48,'Utilization Data'!$AC$5:$AC$364,0)),"")</f>
        <v/>
      </c>
      <c r="T61" s="8" t="str">
        <f>IFERROR(INDEX('Utilization Data'!$AB$5:$AB$364,MATCH(48,'Utilization Data'!$AC$5:$AC$364,0)),"")</f>
        <v/>
      </c>
    </row>
    <row r="62" spans="1:20" ht="15" customHeight="1" x14ac:dyDescent="0.35">
      <c r="I62" s="9"/>
      <c r="J62" s="9"/>
      <c r="K62" s="9"/>
      <c r="L62" s="9"/>
      <c r="M62" s="9"/>
      <c r="N62" s="9"/>
      <c r="O62" s="9"/>
      <c r="P62" s="9"/>
      <c r="Q62" s="9"/>
      <c r="R62" s="6">
        <v>49</v>
      </c>
      <c r="S62" s="7" t="str">
        <f>IFERROR(INDEX('Utilization Data'!$B$5:$B$364,MATCH(49,'Utilization Data'!$AC$5:$AC$364,0)),"")</f>
        <v/>
      </c>
      <c r="T62" s="8" t="str">
        <f>IFERROR(INDEX('Utilization Data'!$AB$5:$AB$364,MATCH(49,'Utilization Data'!$AC$5:$AC$364,0)),"")</f>
        <v/>
      </c>
    </row>
    <row r="63" spans="1:20" ht="15" customHeight="1" x14ac:dyDescent="0.35">
      <c r="I63" s="9"/>
      <c r="J63" s="9"/>
      <c r="K63" s="9"/>
      <c r="L63" s="9"/>
      <c r="M63" s="9"/>
      <c r="N63" s="9"/>
      <c r="O63" s="9"/>
      <c r="P63" s="9"/>
      <c r="Q63" s="9"/>
      <c r="R63" s="6">
        <v>50</v>
      </c>
      <c r="S63" s="7" t="str">
        <f>IFERROR(INDEX('Utilization Data'!$B$5:$B$364,MATCH(50,'Utilization Data'!$AC$5:$AC$364,0)),"")</f>
        <v/>
      </c>
      <c r="T63" s="8" t="str">
        <f>IFERROR(INDEX('Utilization Data'!$AB$5:$AB$364,MATCH(50,'Utilization Data'!$AC$5:$AC$364,0)),"")</f>
        <v/>
      </c>
    </row>
    <row r="64" spans="1:20" ht="15" customHeight="1" x14ac:dyDescent="0.35">
      <c r="I64" s="9"/>
      <c r="J64" s="9"/>
      <c r="K64" s="9"/>
      <c r="L64" s="9"/>
      <c r="M64" s="9"/>
      <c r="N64" s="9"/>
      <c r="O64" s="9"/>
      <c r="P64" s="9"/>
      <c r="Q64" s="9"/>
      <c r="R64" s="12" t="s">
        <v>31</v>
      </c>
      <c r="T64" s="13">
        <f>SUM(T14:T63)</f>
        <v>229.5</v>
      </c>
    </row>
    <row r="65" spans="1:18" ht="15" customHeight="1" x14ac:dyDescent="0.35">
      <c r="I65" s="9"/>
      <c r="J65" s="9"/>
      <c r="K65" s="9"/>
      <c r="L65" s="9"/>
      <c r="M65" s="9"/>
      <c r="N65" s="9"/>
      <c r="O65" s="9"/>
      <c r="P65" s="9"/>
      <c r="Q65" s="9"/>
      <c r="R65" s="14" t="str">
        <f>IF(COUNTIF('Utilization Data'!$AB$5:$AB$364,"&gt;0")=0,"No resources for this selection","Avg "&amp;TEXT(SUM('Utilization Data'!$AB$5:$AB$364)/COUNTIF('Utilization Data'!$AB$5:$AB$364,"&gt;0"),"0.0")&amp;" hrs / resource")</f>
        <v>Avg 57.4 hrs / resource</v>
      </c>
    </row>
    <row r="66" spans="1:18" ht="15" customHeight="1" x14ac:dyDescent="0.35">
      <c r="I66" s="9"/>
      <c r="J66" s="9"/>
      <c r="K66" s="9"/>
      <c r="L66" s="9"/>
      <c r="M66" s="9"/>
      <c r="N66" s="9"/>
      <c r="O66" s="9"/>
      <c r="P66" s="9"/>
      <c r="Q66" s="9"/>
    </row>
    <row r="67" spans="1:18" ht="15" customHeight="1" x14ac:dyDescent="0.35">
      <c r="I67" s="9"/>
      <c r="J67" s="9"/>
      <c r="K67" s="9"/>
      <c r="L67" s="9"/>
      <c r="M67" s="9"/>
      <c r="N67" s="9"/>
      <c r="O67" s="9"/>
      <c r="P67" s="9"/>
      <c r="Q67" s="9"/>
    </row>
    <row r="68" spans="1:18" ht="15" customHeight="1" x14ac:dyDescent="0.35">
      <c r="I68" s="9"/>
      <c r="J68" s="9"/>
      <c r="K68" s="9"/>
      <c r="L68" s="9"/>
      <c r="M68" s="9"/>
      <c r="N68" s="9"/>
      <c r="O68" s="9"/>
      <c r="P68" s="9"/>
      <c r="Q68" s="9"/>
    </row>
    <row r="69" spans="1:18" ht="15" customHeight="1" x14ac:dyDescent="0.35">
      <c r="I69" s="9"/>
      <c r="J69" s="9"/>
      <c r="K69" s="9"/>
      <c r="L69" s="9"/>
      <c r="M69" s="9"/>
      <c r="N69" s="9"/>
      <c r="O69" s="9"/>
      <c r="P69" s="9"/>
      <c r="Q69" s="9"/>
    </row>
    <row r="70" spans="1:18" ht="15" customHeight="1" x14ac:dyDescent="0.35">
      <c r="I70" s="9"/>
      <c r="J70" s="9"/>
      <c r="K70" s="9"/>
      <c r="L70" s="9"/>
      <c r="M70" s="9"/>
      <c r="N70" s="9"/>
      <c r="O70" s="9"/>
      <c r="P70" s="9"/>
      <c r="Q70" s="9"/>
    </row>
    <row r="71" spans="1:18" ht="15" customHeight="1" x14ac:dyDescent="0.35">
      <c r="I71" s="9"/>
      <c r="J71" s="9"/>
      <c r="K71" s="9"/>
      <c r="L71" s="9"/>
      <c r="M71" s="9"/>
      <c r="N71" s="9"/>
      <c r="O71" s="9"/>
      <c r="P71" s="9"/>
      <c r="Q71" s="9"/>
    </row>
    <row r="72" spans="1:18" ht="15" customHeight="1" x14ac:dyDescent="0.35">
      <c r="I72" s="9"/>
      <c r="J72" s="9"/>
      <c r="K72" s="9"/>
      <c r="L72" s="9"/>
      <c r="M72" s="9"/>
      <c r="N72" s="9"/>
      <c r="O72" s="9"/>
      <c r="P72" s="9"/>
      <c r="Q72" s="9"/>
    </row>
    <row r="73" spans="1:18" ht="15" customHeight="1" x14ac:dyDescent="0.35"/>
    <row r="74" spans="1:18" ht="15" customHeight="1" x14ac:dyDescent="0.35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</row>
    <row r="75" spans="1:18" ht="15" customHeight="1" x14ac:dyDescent="0.3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</row>
    <row r="76" spans="1:18" ht="15" customHeight="1" x14ac:dyDescent="0.35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</row>
    <row r="77" spans="1:18" ht="15" customHeight="1" x14ac:dyDescent="0.35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</row>
    <row r="78" spans="1:18" ht="15" customHeight="1" x14ac:dyDescent="0.35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</row>
    <row r="79" spans="1:18" ht="15" customHeight="1" x14ac:dyDescent="0.35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</row>
    <row r="80" spans="1:18" ht="15" customHeight="1" x14ac:dyDescent="0.35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</row>
  </sheetData>
  <mergeCells count="98">
    <mergeCell ref="A43:Q43"/>
    <mergeCell ref="B41:D41"/>
    <mergeCell ref="E41:F41"/>
    <mergeCell ref="G41:H41"/>
    <mergeCell ref="A42:D42"/>
    <mergeCell ref="E42:F42"/>
    <mergeCell ref="G42:H42"/>
    <mergeCell ref="B39:D39"/>
    <mergeCell ref="E39:F39"/>
    <mergeCell ref="G39:H39"/>
    <mergeCell ref="B40:D40"/>
    <mergeCell ref="E40:F40"/>
    <mergeCell ref="G40:H40"/>
    <mergeCell ref="B37:D37"/>
    <mergeCell ref="E37:F37"/>
    <mergeCell ref="G37:H37"/>
    <mergeCell ref="B38:D38"/>
    <mergeCell ref="E38:F38"/>
    <mergeCell ref="G38:H38"/>
    <mergeCell ref="B35:D35"/>
    <mergeCell ref="E35:F35"/>
    <mergeCell ref="G35:H35"/>
    <mergeCell ref="B36:D36"/>
    <mergeCell ref="E36:F36"/>
    <mergeCell ref="G36:H36"/>
    <mergeCell ref="B33:D33"/>
    <mergeCell ref="E33:F33"/>
    <mergeCell ref="G33:H33"/>
    <mergeCell ref="B34:D34"/>
    <mergeCell ref="E34:F34"/>
    <mergeCell ref="G34:H34"/>
    <mergeCell ref="B31:D31"/>
    <mergeCell ref="E31:F31"/>
    <mergeCell ref="G31:H31"/>
    <mergeCell ref="B32:D32"/>
    <mergeCell ref="E32:F32"/>
    <mergeCell ref="G32:H32"/>
    <mergeCell ref="B29:D29"/>
    <mergeCell ref="E29:F29"/>
    <mergeCell ref="G29:H29"/>
    <mergeCell ref="B30:D30"/>
    <mergeCell ref="E30:F30"/>
    <mergeCell ref="G30:H30"/>
    <mergeCell ref="B27:D27"/>
    <mergeCell ref="E27:F27"/>
    <mergeCell ref="G27:H27"/>
    <mergeCell ref="B28:D28"/>
    <mergeCell ref="E28:F28"/>
    <mergeCell ref="G28:H28"/>
    <mergeCell ref="B25:D25"/>
    <mergeCell ref="E25:F25"/>
    <mergeCell ref="G25:H25"/>
    <mergeCell ref="B26:D26"/>
    <mergeCell ref="E26:F26"/>
    <mergeCell ref="G26:H26"/>
    <mergeCell ref="B23:D23"/>
    <mergeCell ref="E23:F23"/>
    <mergeCell ref="G23:H23"/>
    <mergeCell ref="B24:D24"/>
    <mergeCell ref="E24:F24"/>
    <mergeCell ref="G24:H24"/>
    <mergeCell ref="B21:D21"/>
    <mergeCell ref="E21:F21"/>
    <mergeCell ref="G21:H21"/>
    <mergeCell ref="B22:D22"/>
    <mergeCell ref="E22:F22"/>
    <mergeCell ref="G22:H22"/>
    <mergeCell ref="A17:D17"/>
    <mergeCell ref="E17:H17"/>
    <mergeCell ref="A18:D18"/>
    <mergeCell ref="A19:D19"/>
    <mergeCell ref="E19:Q19"/>
    <mergeCell ref="R12:T12"/>
    <mergeCell ref="A12:Q12"/>
    <mergeCell ref="D14:G14"/>
    <mergeCell ref="I14:Q14"/>
    <mergeCell ref="A16:D16"/>
    <mergeCell ref="E16:H16"/>
    <mergeCell ref="A10:D10"/>
    <mergeCell ref="E10:H10"/>
    <mergeCell ref="I10:L10"/>
    <mergeCell ref="M10:P10"/>
    <mergeCell ref="A7:D7"/>
    <mergeCell ref="E7:H7"/>
    <mergeCell ref="I7:L7"/>
    <mergeCell ref="M7:P7"/>
    <mergeCell ref="A9:D9"/>
    <mergeCell ref="E9:H9"/>
    <mergeCell ref="I9:L9"/>
    <mergeCell ref="M9:P9"/>
    <mergeCell ref="A1:T1"/>
    <mergeCell ref="A2:T2"/>
    <mergeCell ref="A4:B4"/>
    <mergeCell ref="G4:J4"/>
    <mergeCell ref="A6:D6"/>
    <mergeCell ref="E6:H6"/>
    <mergeCell ref="I6:L6"/>
    <mergeCell ref="M6:P6"/>
  </mergeCells>
  <conditionalFormatting sqref="A10">
    <cfRule type="cellIs" dxfId="10" priority="8" operator="greaterThan">
      <formula>0</formula>
    </cfRule>
  </conditionalFormatting>
  <conditionalFormatting sqref="E10">
    <cfRule type="cellIs" dxfId="9" priority="9" operator="greaterThan">
      <formula>0</formula>
    </cfRule>
  </conditionalFormatting>
  <conditionalFormatting sqref="I7">
    <cfRule type="cellIs" dxfId="8" priority="2" operator="greaterThanOrEqual">
      <formula>0.95</formula>
    </cfRule>
    <cfRule type="cellIs" dxfId="7" priority="3" operator="between">
      <formula>0.85</formula>
      <formula>0.9499</formula>
    </cfRule>
    <cfRule type="cellIs" dxfId="6" priority="4" operator="lessThan">
      <formula>0.85</formula>
    </cfRule>
  </conditionalFormatting>
  <conditionalFormatting sqref="M7">
    <cfRule type="cellIs" dxfId="5" priority="5" operator="greaterThanOrEqual">
      <formula>0.95</formula>
    </cfRule>
    <cfRule type="cellIs" dxfId="4" priority="6" operator="between">
      <formula>0.9</formula>
      <formula>0.9499</formula>
    </cfRule>
    <cfRule type="cellIs" dxfId="3" priority="7" operator="lessThan">
      <formula>0.9</formula>
    </cfRule>
  </conditionalFormatting>
  <conditionalFormatting sqref="T14:T63">
    <cfRule type="dataBar" priority="10">
      <dataBar>
        <cfvo type="num" val="0"/>
        <cfvo type="max"/>
        <color rgb="FF2F7D7D"/>
      </dataBar>
      <extLst>
        <ext xmlns:x14="http://schemas.microsoft.com/office/spreadsheetml/2009/9/main" uri="{B025F937-C7B1-47D3-B67F-A62EFF666E3E}">
          <x14:id>{6E3BAD49-BE4E-435F-9A52-8ED2804FB024}</x14:id>
        </ext>
      </extLst>
    </cfRule>
  </conditionalFormatting>
  <dataValidations count="2">
    <dataValidation type="list" sqref="D4" xr:uid="{00000000-0002-0000-0000-000000000000}">
      <formula1>"All,January,February,March,April,May,June,July,August,September,October,November,December"</formula1>
      <formula2>0</formula2>
    </dataValidation>
    <dataValidation type="list" errorTitle="Invalid entry" error="Please choose an employee from the list." promptTitle="Employee" prompt="Choose an employee (or All)" sqref="D14" xr:uid="{00000000-0002-0000-0000-000002000000}">
      <formula1>EmployeeList</formula1>
      <formula2>0</formula2>
    </dataValidation>
  </dataValidations>
  <pageMargins left="0.2" right="0.2" top="0.3" bottom="0.3" header="0.511811023622047" footer="0.511811023622047"/>
  <pageSetup paperSize="9" fitToHeight="0" orientation="landscape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E3BAD49-BE4E-435F-9A52-8ED2804FB024}">
            <x14:dataBar axisPosition="none">
              <x14:cfvo type="num">
                <xm:f>0</xm:f>
              </x14:cfvo>
              <x14:cfvo type="max"/>
              <x14:negativeFillColor rgb="FF2F7D7D"/>
            </x14:dataBar>
          </x14:cfRule>
          <xm:sqref>T14:T63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000-000001000000}">
          <x14:formula1>
            <xm:f>ChartData!$N$1:$N$21</xm:f>
          </x14:formula1>
          <x14:formula2>
            <xm:f>0</xm:f>
          </x14:formula2>
          <xm:sqref>G4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8720C"/>
    <pageSetUpPr fitToPage="1"/>
  </sheetPr>
  <dimension ref="A1:K32"/>
  <sheetViews>
    <sheetView showGridLines="0" tabSelected="1" zoomScaleNormal="100" workbookViewId="0">
      <pane ySplit="4" topLeftCell="A5" activePane="bottomLeft" state="frozen"/>
      <selection pane="bottomLeft" activeCell="F21" sqref="F21"/>
    </sheetView>
  </sheetViews>
  <sheetFormatPr defaultColWidth="8.7265625" defaultRowHeight="14.5" x14ac:dyDescent="0.35"/>
  <cols>
    <col min="1" max="1" width="14" customWidth="1"/>
    <col min="2" max="2" width="16" customWidth="1"/>
    <col min="3" max="4" width="15" customWidth="1"/>
    <col min="5" max="5" width="22" customWidth="1"/>
    <col min="6" max="6" width="16" customWidth="1"/>
    <col min="7" max="7" width="11" customWidth="1"/>
    <col min="8" max="9" width="13" customWidth="1"/>
    <col min="10" max="10" width="18" customWidth="1"/>
    <col min="11" max="11" width="16" customWidth="1"/>
  </cols>
  <sheetData>
    <row r="1" spans="1:11" ht="33.75" customHeight="1" x14ac:dyDescent="0.35">
      <c r="A1" s="54" t="s">
        <v>33</v>
      </c>
      <c r="B1" s="54"/>
      <c r="C1" s="54"/>
      <c r="D1" s="54"/>
      <c r="E1" s="54"/>
      <c r="F1" s="54"/>
      <c r="G1" s="54"/>
      <c r="H1" s="54"/>
      <c r="I1" s="54"/>
    </row>
    <row r="2" spans="1:11" ht="18" customHeight="1" x14ac:dyDescent="0.35">
      <c r="A2" s="55" t="s">
        <v>34</v>
      </c>
      <c r="B2" s="55"/>
      <c r="C2" s="55"/>
      <c r="D2" s="55"/>
      <c r="E2" s="55"/>
      <c r="F2" s="55"/>
      <c r="G2" s="55"/>
      <c r="H2" s="55"/>
      <c r="I2" s="55"/>
    </row>
    <row r="3" spans="1:11" ht="6" customHeight="1" x14ac:dyDescent="0.35"/>
    <row r="4" spans="1:11" ht="30" customHeight="1" x14ac:dyDescent="0.35">
      <c r="A4" s="16" t="s">
        <v>35</v>
      </c>
      <c r="B4" s="16" t="s">
        <v>36</v>
      </c>
      <c r="C4" s="16" t="s">
        <v>37</v>
      </c>
      <c r="D4" s="16" t="s">
        <v>38</v>
      </c>
      <c r="E4" s="16" t="s">
        <v>39</v>
      </c>
      <c r="F4" s="16" t="s">
        <v>40</v>
      </c>
      <c r="G4" s="16" t="s">
        <v>41</v>
      </c>
      <c r="H4" s="16" t="s">
        <v>42</v>
      </c>
      <c r="I4" s="16" t="s">
        <v>43</v>
      </c>
      <c r="J4" s="17" t="s">
        <v>44</v>
      </c>
      <c r="K4" s="17" t="s">
        <v>45</v>
      </c>
    </row>
    <row r="5" spans="1:11" ht="15" customHeight="1" x14ac:dyDescent="0.35">
      <c r="A5" s="18" t="s">
        <v>4</v>
      </c>
      <c r="B5" s="18" t="s">
        <v>6</v>
      </c>
      <c r="C5" s="19">
        <v>3</v>
      </c>
      <c r="D5" s="19">
        <v>1</v>
      </c>
      <c r="E5" s="19">
        <v>1</v>
      </c>
      <c r="F5" s="20">
        <f t="shared" ref="F5:F18" si="0">IFERROR(E5/D5,0)</f>
        <v>1</v>
      </c>
      <c r="G5" s="20">
        <v>0.95</v>
      </c>
      <c r="H5" s="19">
        <f t="shared" ref="H5:H18" si="1">C5-D5</f>
        <v>2</v>
      </c>
      <c r="I5" s="19">
        <v>1</v>
      </c>
      <c r="J5">
        <f>SUMPRODUCT((UtilData[Month]=$A5)*(INDEX(UtilData[[FCV]:[Hendry REA]],0,MATCH($B5,'Utilization Data'!$C$4:$V$4,0))&gt;0))</f>
        <v>4</v>
      </c>
      <c r="K5" s="21">
        <f>SUMPRODUCT((UtilData[Month]=$A5)*INDEX(UtilData[[FCV]:[Hendry REA]],0,MATCH($B5,'Utilization Data'!$C$4:$V$4,0)))</f>
        <v>229.5</v>
      </c>
    </row>
    <row r="6" spans="1:11" ht="15" customHeight="1" x14ac:dyDescent="0.35">
      <c r="A6" s="18" t="s">
        <v>4</v>
      </c>
      <c r="B6" s="18" t="s">
        <v>46</v>
      </c>
      <c r="C6" s="19">
        <v>6</v>
      </c>
      <c r="D6" s="19">
        <v>6</v>
      </c>
      <c r="E6" s="19">
        <v>6</v>
      </c>
      <c r="F6" s="20">
        <f t="shared" si="0"/>
        <v>1</v>
      </c>
      <c r="G6" s="20">
        <v>1</v>
      </c>
      <c r="H6" s="19">
        <f t="shared" si="1"/>
        <v>0</v>
      </c>
      <c r="I6" s="19">
        <v>0</v>
      </c>
      <c r="J6">
        <f>SUMPRODUCT((UtilData[Month]=$A6)*(INDEX(UtilData[[FCV]:[Hendry REA]],0,MATCH($B6,'Utilization Data'!$C$4:$V$4,0))&gt;0))</f>
        <v>5</v>
      </c>
      <c r="K6" s="21">
        <f>SUMPRODUCT((UtilData[Month]=$A6)*INDEX(UtilData[[FCV]:[Hendry REA]],0,MATCH($B6,'Utilization Data'!$C$4:$V$4,0)))</f>
        <v>93</v>
      </c>
    </row>
    <row r="7" spans="1:11" ht="15" customHeight="1" x14ac:dyDescent="0.35">
      <c r="A7" s="18" t="s">
        <v>47</v>
      </c>
      <c r="B7" s="18" t="s">
        <v>6</v>
      </c>
      <c r="C7" s="19">
        <v>4</v>
      </c>
      <c r="D7" s="19">
        <v>1</v>
      </c>
      <c r="E7" s="19">
        <v>1</v>
      </c>
      <c r="F7" s="20">
        <f t="shared" si="0"/>
        <v>1</v>
      </c>
      <c r="G7" s="20">
        <v>0.95</v>
      </c>
      <c r="H7" s="19">
        <f t="shared" si="1"/>
        <v>3</v>
      </c>
      <c r="I7" s="19">
        <v>1</v>
      </c>
      <c r="J7">
        <f>SUMPRODUCT((UtilData[Month]=$A7)*(INDEX(UtilData[[FCV]:[Hendry REA]],0,MATCH($B7,'Utilization Data'!$C$4:$V$4,0))&gt;0))</f>
        <v>0</v>
      </c>
      <c r="K7" s="21">
        <f>SUMPRODUCT((UtilData[Month]=$A7)*INDEX(UtilData[[FCV]:[Hendry REA]],0,MATCH($B7,'Utilization Data'!$C$4:$V$4,0)))</f>
        <v>0</v>
      </c>
    </row>
    <row r="8" spans="1:11" ht="15" customHeight="1" x14ac:dyDescent="0.35">
      <c r="A8" s="18" t="s">
        <v>47</v>
      </c>
      <c r="B8" s="18" t="s">
        <v>46</v>
      </c>
      <c r="C8" s="19">
        <v>2</v>
      </c>
      <c r="D8" s="19">
        <v>2</v>
      </c>
      <c r="E8" s="19">
        <v>2</v>
      </c>
      <c r="F8" s="20">
        <f t="shared" si="0"/>
        <v>1</v>
      </c>
      <c r="G8" s="20">
        <v>0.93</v>
      </c>
      <c r="H8" s="19">
        <f t="shared" si="1"/>
        <v>0</v>
      </c>
      <c r="I8" s="19">
        <v>0</v>
      </c>
      <c r="J8">
        <f>SUMPRODUCT((UtilData[Month]=$A8)*(INDEX(UtilData[[FCV]:[Hendry REA]],0,MATCH($B8,'Utilization Data'!$C$4:$V$4,0))&gt;0))</f>
        <v>0</v>
      </c>
      <c r="K8" s="21">
        <f>SUMPRODUCT((UtilData[Month]=$A8)*INDEX(UtilData[[FCV]:[Hendry REA]],0,MATCH($B8,'Utilization Data'!$C$4:$V$4,0)))</f>
        <v>0</v>
      </c>
    </row>
    <row r="9" spans="1:11" ht="15" customHeight="1" x14ac:dyDescent="0.35">
      <c r="A9" s="18" t="s">
        <v>48</v>
      </c>
      <c r="B9" s="18" t="s">
        <v>6</v>
      </c>
      <c r="C9" s="19">
        <v>8</v>
      </c>
      <c r="D9" s="19">
        <v>4</v>
      </c>
      <c r="E9" s="19">
        <v>3</v>
      </c>
      <c r="F9" s="20">
        <f t="shared" si="0"/>
        <v>0.75</v>
      </c>
      <c r="G9" s="20">
        <v>0.9</v>
      </c>
      <c r="H9" s="19">
        <f t="shared" si="1"/>
        <v>4</v>
      </c>
      <c r="I9" s="19">
        <v>1</v>
      </c>
      <c r="J9">
        <f>SUMPRODUCT((UtilData[Month]=$A9)*(INDEX(UtilData[[FCV]:[Hendry REA]],0,MATCH($B9,'Utilization Data'!$C$4:$V$4,0))&gt;0))</f>
        <v>0</v>
      </c>
      <c r="K9" s="21">
        <f>SUMPRODUCT((UtilData[Month]=$A9)*INDEX(UtilData[[FCV]:[Hendry REA]],0,MATCH($B9,'Utilization Data'!$C$4:$V$4,0)))</f>
        <v>0</v>
      </c>
    </row>
    <row r="10" spans="1:11" ht="15" customHeight="1" x14ac:dyDescent="0.35">
      <c r="A10" s="18" t="s">
        <v>48</v>
      </c>
      <c r="B10" s="18" t="s">
        <v>46</v>
      </c>
      <c r="C10" s="19">
        <v>8</v>
      </c>
      <c r="D10" s="19">
        <v>8</v>
      </c>
      <c r="E10" s="19">
        <v>8</v>
      </c>
      <c r="F10" s="20">
        <f t="shared" si="0"/>
        <v>1</v>
      </c>
      <c r="G10" s="20">
        <v>0.99</v>
      </c>
      <c r="H10" s="19">
        <f t="shared" si="1"/>
        <v>0</v>
      </c>
      <c r="I10" s="19">
        <v>0</v>
      </c>
      <c r="J10">
        <f>SUMPRODUCT((UtilData[Month]=$A10)*(INDEX(UtilData[[FCV]:[Hendry REA]],0,MATCH($B10,'Utilization Data'!$C$4:$V$4,0))&gt;0))</f>
        <v>0</v>
      </c>
      <c r="K10" s="21">
        <f>SUMPRODUCT((UtilData[Month]=$A10)*INDEX(UtilData[[FCV]:[Hendry REA]],0,MATCH($B10,'Utilization Data'!$C$4:$V$4,0)))</f>
        <v>0</v>
      </c>
    </row>
    <row r="11" spans="1:11" ht="15" customHeight="1" x14ac:dyDescent="0.35">
      <c r="A11" s="18" t="s">
        <v>49</v>
      </c>
      <c r="B11" s="18" t="s">
        <v>6</v>
      </c>
      <c r="C11" s="19">
        <v>2</v>
      </c>
      <c r="D11" s="19">
        <v>2</v>
      </c>
      <c r="E11" s="19">
        <v>2</v>
      </c>
      <c r="F11" s="20">
        <f t="shared" si="0"/>
        <v>1</v>
      </c>
      <c r="G11" s="20">
        <v>0.9</v>
      </c>
      <c r="H11" s="19">
        <f t="shared" si="1"/>
        <v>0</v>
      </c>
      <c r="I11" s="19">
        <v>0</v>
      </c>
      <c r="J11">
        <f>SUMPRODUCT((UtilData[Month]=$A11)*(INDEX(UtilData[[FCV]:[Hendry REA]],0,MATCH($B11,'Utilization Data'!$C$4:$V$4,0))&gt;0))</f>
        <v>0</v>
      </c>
      <c r="K11" s="21">
        <f>SUMPRODUCT((UtilData[Month]=$A11)*INDEX(UtilData[[FCV]:[Hendry REA]],0,MATCH($B11,'Utilization Data'!$C$4:$V$4,0)))</f>
        <v>0</v>
      </c>
    </row>
    <row r="12" spans="1:11" ht="15" customHeight="1" x14ac:dyDescent="0.35">
      <c r="A12" s="18" t="s">
        <v>49</v>
      </c>
      <c r="B12" s="18" t="s">
        <v>46</v>
      </c>
      <c r="C12" s="19">
        <v>9</v>
      </c>
      <c r="D12" s="19">
        <v>9</v>
      </c>
      <c r="E12" s="19">
        <v>9</v>
      </c>
      <c r="F12" s="20">
        <f t="shared" si="0"/>
        <v>1</v>
      </c>
      <c r="G12" s="20">
        <v>0.99</v>
      </c>
      <c r="H12" s="19">
        <f t="shared" si="1"/>
        <v>0</v>
      </c>
      <c r="I12" s="19">
        <v>0</v>
      </c>
      <c r="J12">
        <f>SUMPRODUCT((UtilData[Month]=$A12)*(INDEX(UtilData[[FCV]:[Hendry REA]],0,MATCH($B12,'Utilization Data'!$C$4:$V$4,0))&gt;0))</f>
        <v>0</v>
      </c>
      <c r="K12" s="21">
        <f>SUMPRODUCT((UtilData[Month]=$A12)*INDEX(UtilData[[FCV]:[Hendry REA]],0,MATCH($B12,'Utilization Data'!$C$4:$V$4,0)))</f>
        <v>0</v>
      </c>
    </row>
    <row r="13" spans="1:11" ht="15" customHeight="1" x14ac:dyDescent="0.35">
      <c r="A13" s="18" t="s">
        <v>50</v>
      </c>
      <c r="B13" s="18" t="s">
        <v>6</v>
      </c>
      <c r="C13" s="19">
        <v>4</v>
      </c>
      <c r="D13" s="19">
        <v>4</v>
      </c>
      <c r="E13" s="19">
        <v>4</v>
      </c>
      <c r="F13" s="20">
        <f t="shared" si="0"/>
        <v>1</v>
      </c>
      <c r="G13" s="20">
        <v>0.9</v>
      </c>
      <c r="H13" s="19">
        <f t="shared" si="1"/>
        <v>0</v>
      </c>
      <c r="I13" s="19">
        <v>0</v>
      </c>
      <c r="J13">
        <f>SUMPRODUCT((UtilData[Month]=$A13)*(INDEX(UtilData[[FCV]:[Hendry REA]],0,MATCH($B13,'Utilization Data'!$C$4:$V$4,0))&gt;0))</f>
        <v>0</v>
      </c>
      <c r="K13" s="21">
        <f>SUMPRODUCT((UtilData[Month]=$A13)*INDEX(UtilData[[FCV]:[Hendry REA]],0,MATCH($B13,'Utilization Data'!$C$4:$V$4,0)))</f>
        <v>0</v>
      </c>
    </row>
    <row r="14" spans="1:11" ht="15" customHeight="1" x14ac:dyDescent="0.35">
      <c r="A14" s="18" t="s">
        <v>50</v>
      </c>
      <c r="B14" s="18" t="s">
        <v>46</v>
      </c>
      <c r="C14" s="19">
        <v>4</v>
      </c>
      <c r="D14" s="19">
        <v>3</v>
      </c>
      <c r="E14" s="19">
        <v>3</v>
      </c>
      <c r="F14" s="20">
        <f t="shared" si="0"/>
        <v>1</v>
      </c>
      <c r="G14" s="20">
        <v>1</v>
      </c>
      <c r="H14" s="19">
        <f t="shared" si="1"/>
        <v>1</v>
      </c>
      <c r="I14" s="19">
        <v>0</v>
      </c>
      <c r="J14">
        <f>SUMPRODUCT((UtilData[Month]=$A14)*(INDEX(UtilData[[FCV]:[Hendry REA]],0,MATCH($B14,'Utilization Data'!$C$4:$V$4,0))&gt;0))</f>
        <v>0</v>
      </c>
      <c r="K14" s="21">
        <f>SUMPRODUCT((UtilData[Month]=$A14)*INDEX(UtilData[[FCV]:[Hendry REA]],0,MATCH($B14,'Utilization Data'!$C$4:$V$4,0)))</f>
        <v>0</v>
      </c>
    </row>
    <row r="15" spans="1:11" ht="15" customHeight="1" x14ac:dyDescent="0.35">
      <c r="A15" s="18" t="s">
        <v>51</v>
      </c>
      <c r="B15" s="18" t="s">
        <v>6</v>
      </c>
      <c r="C15" s="19">
        <v>4</v>
      </c>
      <c r="D15" s="19">
        <v>3</v>
      </c>
      <c r="E15" s="19">
        <v>1</v>
      </c>
      <c r="F15" s="20">
        <f t="shared" si="0"/>
        <v>0.33333333333333331</v>
      </c>
      <c r="G15" s="20">
        <v>0.95</v>
      </c>
      <c r="H15" s="19">
        <f t="shared" si="1"/>
        <v>1</v>
      </c>
      <c r="I15" s="19">
        <v>0</v>
      </c>
      <c r="J15">
        <f>SUMPRODUCT((UtilData[Month]=$A15)*(INDEX(UtilData[[FCV]:[Hendry REA]],0,MATCH($B15,'Utilization Data'!$C$4:$V$4,0))&gt;0))</f>
        <v>0</v>
      </c>
      <c r="K15" s="21">
        <f>SUMPRODUCT((UtilData[Month]=$A15)*INDEX(UtilData[[FCV]:[Hendry REA]],0,MATCH($B15,'Utilization Data'!$C$4:$V$4,0)))</f>
        <v>0</v>
      </c>
    </row>
    <row r="16" spans="1:11" ht="15" customHeight="1" x14ac:dyDescent="0.35">
      <c r="A16" s="18" t="s">
        <v>51</v>
      </c>
      <c r="B16" s="18" t="s">
        <v>46</v>
      </c>
      <c r="C16" s="19">
        <v>4</v>
      </c>
      <c r="D16" s="19">
        <v>4</v>
      </c>
      <c r="E16" s="19">
        <v>4</v>
      </c>
      <c r="F16" s="20">
        <f t="shared" si="0"/>
        <v>1</v>
      </c>
      <c r="G16" s="20">
        <v>0.85</v>
      </c>
      <c r="H16" s="19">
        <f t="shared" si="1"/>
        <v>0</v>
      </c>
      <c r="I16" s="19">
        <v>0</v>
      </c>
      <c r="J16">
        <f>SUMPRODUCT((UtilData[Month]=$A16)*(INDEX(UtilData[[FCV]:[Hendry REA]],0,MATCH($B16,'Utilization Data'!$C$4:$V$4,0))&gt;0))</f>
        <v>0</v>
      </c>
      <c r="K16" s="21">
        <f>SUMPRODUCT((UtilData[Month]=$A16)*INDEX(UtilData[[FCV]:[Hendry REA]],0,MATCH($B16,'Utilization Data'!$C$4:$V$4,0)))</f>
        <v>0</v>
      </c>
    </row>
    <row r="17" spans="1:11" ht="15" customHeight="1" x14ac:dyDescent="0.35">
      <c r="A17" s="18" t="s">
        <v>52</v>
      </c>
      <c r="B17" s="18" t="s">
        <v>6</v>
      </c>
      <c r="C17" s="19">
        <v>3</v>
      </c>
      <c r="D17" s="19">
        <v>3</v>
      </c>
      <c r="E17" s="19">
        <v>3</v>
      </c>
      <c r="F17" s="20">
        <f t="shared" si="0"/>
        <v>1</v>
      </c>
      <c r="G17" s="20">
        <v>0.9</v>
      </c>
      <c r="H17" s="19">
        <f t="shared" si="1"/>
        <v>0</v>
      </c>
      <c r="I17" s="19">
        <v>0</v>
      </c>
      <c r="J17">
        <f>SUMPRODUCT((UtilData[Month]=$A17)*(INDEX(UtilData[[FCV]:[Hendry REA]],0,MATCH($B17,'Utilization Data'!$C$4:$V$4,0))&gt;0))</f>
        <v>0</v>
      </c>
      <c r="K17" s="21">
        <f>SUMPRODUCT((UtilData[Month]=$A17)*INDEX(UtilData[[FCV]:[Hendry REA]],0,MATCH($B17,'Utilization Data'!$C$4:$V$4,0)))</f>
        <v>0</v>
      </c>
    </row>
    <row r="18" spans="1:11" ht="15" customHeight="1" x14ac:dyDescent="0.35">
      <c r="A18" s="18" t="s">
        <v>52</v>
      </c>
      <c r="B18" s="18" t="s">
        <v>46</v>
      </c>
      <c r="C18" s="19">
        <v>4</v>
      </c>
      <c r="D18" s="19">
        <v>4</v>
      </c>
      <c r="E18" s="19">
        <v>4</v>
      </c>
      <c r="F18" s="20">
        <f t="shared" si="0"/>
        <v>1</v>
      </c>
      <c r="G18" s="20">
        <v>0.96899999999999997</v>
      </c>
      <c r="H18" s="19">
        <f t="shared" si="1"/>
        <v>0</v>
      </c>
      <c r="I18" s="19">
        <v>0</v>
      </c>
      <c r="J18">
        <f>SUMPRODUCT((UtilData[Month]=$A18)*(INDEX(UtilData[[FCV]:[Hendry REA]],0,MATCH($B18,'Utilization Data'!$C$4:$V$4,0))&gt;0))</f>
        <v>0</v>
      </c>
      <c r="K18" s="21">
        <f>SUMPRODUCT((UtilData[Month]=$A18)*INDEX(UtilData[[FCV]:[Hendry REA]],0,MATCH($B18,'Utilization Data'!$C$4:$V$4,0)))</f>
        <v>0</v>
      </c>
    </row>
    <row r="19" spans="1:11" ht="15" customHeight="1" x14ac:dyDescent="0.35"/>
    <row r="20" spans="1:11" ht="15" customHeight="1" x14ac:dyDescent="0.35"/>
    <row r="21" spans="1:11" ht="15" customHeight="1" x14ac:dyDescent="0.35"/>
    <row r="22" spans="1:11" ht="15" customHeight="1" x14ac:dyDescent="0.35"/>
    <row r="23" spans="1:11" ht="15" customHeight="1" x14ac:dyDescent="0.35"/>
    <row r="24" spans="1:11" ht="15" customHeight="1" x14ac:dyDescent="0.35"/>
    <row r="25" spans="1:11" ht="15" customHeight="1" x14ac:dyDescent="0.35"/>
    <row r="26" spans="1:11" ht="15" customHeight="1" x14ac:dyDescent="0.35"/>
    <row r="27" spans="1:11" ht="15" customHeight="1" x14ac:dyDescent="0.35"/>
    <row r="28" spans="1:11" ht="15" customHeight="1" x14ac:dyDescent="0.35"/>
    <row r="29" spans="1:11" ht="15" customHeight="1" x14ac:dyDescent="0.35"/>
    <row r="30" spans="1:11" ht="15" customHeight="1" x14ac:dyDescent="0.35"/>
    <row r="31" spans="1:11" ht="15" customHeight="1" x14ac:dyDescent="0.35"/>
    <row r="32" spans="1:11" ht="15" customHeight="1" x14ac:dyDescent="0.35"/>
  </sheetData>
  <mergeCells count="2">
    <mergeCell ref="A1:I1"/>
    <mergeCell ref="A2:I2"/>
  </mergeCells>
  <conditionalFormatting sqref="F5:F18">
    <cfRule type="colorScale" priority="5">
      <colorScale>
        <cfvo type="min"/>
        <cfvo type="percentile" val="50"/>
        <cfvo type="max"/>
        <color rgb="FFF8C7A8"/>
        <color rgb="FFF4A24C"/>
        <color rgb="FF6FAE7C"/>
      </colorScale>
    </cfRule>
  </conditionalFormatting>
  <conditionalFormatting sqref="G5:G18">
    <cfRule type="cellIs" dxfId="2" priority="2" operator="lessThan">
      <formula>0.95</formula>
    </cfRule>
  </conditionalFormatting>
  <conditionalFormatting sqref="H5:H18">
    <cfRule type="cellIs" dxfId="1" priority="4" operator="greaterThan">
      <formula>12</formula>
    </cfRule>
  </conditionalFormatting>
  <conditionalFormatting sqref="I5:I18">
    <cfRule type="cellIs" dxfId="0" priority="3" operator="greaterThan">
      <formula>0</formula>
    </cfRule>
  </conditionalFormatting>
  <pageMargins left="0.3" right="0.3" top="0.4" bottom="0.4" header="0.511811023622047" footer="0.511811023622047"/>
  <pageSetup paperSize="9" fitToHeight="0" orientation="landscape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364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ColWidth="8.7265625" defaultRowHeight="14.5" x14ac:dyDescent="0.35"/>
  <cols>
    <col min="1" max="1" width="14" customWidth="1"/>
    <col min="2" max="2" width="16" customWidth="1"/>
    <col min="3" max="27" width="14" customWidth="1"/>
    <col min="28" max="30" width="13" hidden="1" customWidth="1"/>
  </cols>
  <sheetData>
    <row r="1" spans="1:32" ht="17.25" customHeight="1" x14ac:dyDescent="0.45">
      <c r="A1" s="22" t="s">
        <v>53</v>
      </c>
    </row>
    <row r="2" spans="1:32" ht="15" customHeight="1" x14ac:dyDescent="0.35">
      <c r="A2" s="23" t="s">
        <v>54</v>
      </c>
    </row>
    <row r="4" spans="1:32" ht="45.75" customHeight="1" x14ac:dyDescent="0.35">
      <c r="A4" s="24" t="s">
        <v>35</v>
      </c>
      <c r="B4" s="24" t="s">
        <v>55</v>
      </c>
      <c r="C4" s="24" t="s">
        <v>56</v>
      </c>
      <c r="D4" s="24" t="s">
        <v>6</v>
      </c>
      <c r="E4" s="24" t="s">
        <v>57</v>
      </c>
      <c r="F4" s="24" t="s">
        <v>58</v>
      </c>
      <c r="G4" s="24" t="s">
        <v>59</v>
      </c>
      <c r="H4" s="24" t="s">
        <v>60</v>
      </c>
      <c r="I4" s="24" t="s">
        <v>61</v>
      </c>
      <c r="J4" s="24" t="s">
        <v>62</v>
      </c>
      <c r="K4" s="24" t="s">
        <v>63</v>
      </c>
      <c r="L4" s="24" t="s">
        <v>64</v>
      </c>
      <c r="M4" s="24" t="s">
        <v>46</v>
      </c>
      <c r="N4" s="24" t="s">
        <v>65</v>
      </c>
      <c r="O4" s="24" t="s">
        <v>66</v>
      </c>
      <c r="P4" s="24" t="s">
        <v>67</v>
      </c>
      <c r="Q4" s="24" t="s">
        <v>68</v>
      </c>
      <c r="R4" s="24" t="s">
        <v>69</v>
      </c>
      <c r="S4" s="24" t="s">
        <v>70</v>
      </c>
      <c r="T4" s="24" t="s">
        <v>71</v>
      </c>
      <c r="U4" s="24" t="s">
        <v>72</v>
      </c>
      <c r="V4" s="24" t="s">
        <v>73</v>
      </c>
      <c r="W4" s="24" t="s">
        <v>74</v>
      </c>
      <c r="X4" s="24" t="s">
        <v>75</v>
      </c>
      <c r="Y4" s="24" t="s">
        <v>76</v>
      </c>
      <c r="Z4" s="24" t="s">
        <v>77</v>
      </c>
      <c r="AA4" s="24" t="s">
        <v>78</v>
      </c>
      <c r="AB4" t="s">
        <v>79</v>
      </c>
      <c r="AC4" t="s">
        <v>80</v>
      </c>
      <c r="AD4" t="s">
        <v>81</v>
      </c>
      <c r="AE4" t="s">
        <v>82</v>
      </c>
      <c r="AF4" t="s">
        <v>83</v>
      </c>
    </row>
    <row r="5" spans="1:32" ht="15" customHeight="1" x14ac:dyDescent="0.35">
      <c r="A5" s="25" t="s">
        <v>4</v>
      </c>
      <c r="B5" s="25" t="s">
        <v>84</v>
      </c>
      <c r="C5" s="26">
        <v>6.5</v>
      </c>
      <c r="D5" s="26">
        <v>0</v>
      </c>
      <c r="E5" s="26">
        <v>94.25</v>
      </c>
      <c r="F5" s="26">
        <v>38</v>
      </c>
      <c r="G5" s="26">
        <v>2.5</v>
      </c>
      <c r="H5" s="26">
        <v>0</v>
      </c>
      <c r="I5" s="26">
        <v>0</v>
      </c>
      <c r="J5" s="26">
        <v>0</v>
      </c>
      <c r="K5" s="26">
        <v>0</v>
      </c>
      <c r="L5" s="26">
        <v>0</v>
      </c>
      <c r="M5" s="26">
        <v>0</v>
      </c>
      <c r="N5" s="26">
        <v>0</v>
      </c>
      <c r="O5" s="26">
        <v>0</v>
      </c>
      <c r="P5" s="26">
        <v>0</v>
      </c>
      <c r="Q5" s="26">
        <v>0</v>
      </c>
      <c r="R5" s="26">
        <v>0</v>
      </c>
      <c r="S5" s="26">
        <v>0</v>
      </c>
      <c r="T5" s="26">
        <v>0</v>
      </c>
      <c r="U5" s="26">
        <v>0</v>
      </c>
      <c r="V5" s="26">
        <v>0</v>
      </c>
      <c r="W5" s="26">
        <v>0</v>
      </c>
      <c r="X5" s="26">
        <v>0</v>
      </c>
      <c r="Y5" s="26">
        <v>0</v>
      </c>
      <c r="Z5" s="26">
        <v>1</v>
      </c>
      <c r="AA5" s="27">
        <f t="shared" ref="AA5:AA68" si="0">IF($A5="","",SUM($C5:$W5))</f>
        <v>141.25</v>
      </c>
      <c r="AB5" s="21">
        <f>IF($A5="","",IF(OR(Dashboard!$D$4="All",Dashboard!$D$4=$A5),IF(Dashboard!$G$4="All",SUM($C5:$V5),INDEX($C5:$V5,MATCH(Dashboard!$G$4,$C$4:$V$4,0))),0))</f>
        <v>0</v>
      </c>
      <c r="AC5" t="str">
        <f t="shared" ref="AC5:AC68" si="1">IF(AND($A5&lt;&gt;"",$AB5&gt;0),SUMPRODUCT(($AB$5:$AB$364&gt;0)*(ROW($AB$5:$AB$364)&lt;=ROW($AB5))),"")</f>
        <v/>
      </c>
      <c r="AD5">
        <f t="shared" ref="AD5:AD68" si="2">IF($A5="",0,SUM($C5:$V5))</f>
        <v>141.25</v>
      </c>
      <c r="AE5">
        <f>IF($B5="","",IF(COUNTIF($B$5:$B5,$B5)=1,1,0))</f>
        <v>1</v>
      </c>
      <c r="AF5">
        <f>IF(AE5=1,SUM($AE$5:AE5),"")</f>
        <v>1</v>
      </c>
    </row>
    <row r="6" spans="1:32" ht="15" customHeight="1" x14ac:dyDescent="0.35">
      <c r="A6" s="25" t="s">
        <v>4</v>
      </c>
      <c r="B6" s="25" t="s">
        <v>85</v>
      </c>
      <c r="C6" s="26">
        <v>12.5</v>
      </c>
      <c r="D6" s="26">
        <v>37.25</v>
      </c>
      <c r="E6" s="26">
        <v>0</v>
      </c>
      <c r="F6" s="26">
        <v>0</v>
      </c>
      <c r="G6" s="26">
        <v>0</v>
      </c>
      <c r="H6" s="26">
        <v>49.75</v>
      </c>
      <c r="I6" s="26">
        <v>0</v>
      </c>
      <c r="J6" s="26">
        <v>0</v>
      </c>
      <c r="K6" s="26">
        <v>0</v>
      </c>
      <c r="L6" s="26">
        <v>0</v>
      </c>
      <c r="M6" s="26">
        <v>48.5</v>
      </c>
      <c r="N6" s="26">
        <v>0</v>
      </c>
      <c r="O6" s="26">
        <v>0</v>
      </c>
      <c r="P6" s="26">
        <v>0</v>
      </c>
      <c r="Q6" s="26">
        <v>0</v>
      </c>
      <c r="R6" s="26">
        <v>0</v>
      </c>
      <c r="S6" s="26">
        <v>0</v>
      </c>
      <c r="T6" s="26">
        <v>0</v>
      </c>
      <c r="U6" s="26">
        <v>0</v>
      </c>
      <c r="V6" s="26">
        <v>0</v>
      </c>
      <c r="W6" s="26">
        <v>0</v>
      </c>
      <c r="X6" s="26">
        <v>0</v>
      </c>
      <c r="Y6" s="26">
        <v>4</v>
      </c>
      <c r="Z6" s="26">
        <v>1</v>
      </c>
      <c r="AA6" s="27">
        <f t="shared" si="0"/>
        <v>148</v>
      </c>
      <c r="AB6" s="21">
        <f>IF($A6="","",IF(OR(Dashboard!$D$4="All",Dashboard!$D$4=$A6),IF(Dashboard!$G$4="All",SUM($C6:$V6),INDEX($C6:$V6,MATCH(Dashboard!$G$4,$C$4:$V$4,0))),0))</f>
        <v>37.25</v>
      </c>
      <c r="AC6">
        <f t="shared" si="1"/>
        <v>1</v>
      </c>
      <c r="AD6">
        <f t="shared" si="2"/>
        <v>148</v>
      </c>
      <c r="AE6">
        <f>IF($B6="","",IF(COUNTIF($B$5:$B6,$B6)=1,1,0))</f>
        <v>1</v>
      </c>
      <c r="AF6">
        <f>IF(AE6=1,SUM($AE$5:AE6),"")</f>
        <v>2</v>
      </c>
    </row>
    <row r="7" spans="1:32" ht="15" customHeight="1" x14ac:dyDescent="0.35">
      <c r="A7" s="25" t="s">
        <v>4</v>
      </c>
      <c r="B7" s="25" t="s">
        <v>86</v>
      </c>
      <c r="C7" s="26">
        <v>0</v>
      </c>
      <c r="D7" s="26">
        <v>0</v>
      </c>
      <c r="E7" s="26">
        <v>0</v>
      </c>
      <c r="F7" s="26">
        <v>0</v>
      </c>
      <c r="G7" s="26">
        <v>0</v>
      </c>
      <c r="H7" s="26">
        <v>0</v>
      </c>
      <c r="I7" s="26">
        <v>0</v>
      </c>
      <c r="J7" s="26">
        <v>157.5</v>
      </c>
      <c r="K7" s="26">
        <v>0</v>
      </c>
      <c r="L7" s="26">
        <v>0</v>
      </c>
      <c r="M7" s="26">
        <v>0</v>
      </c>
      <c r="N7" s="26">
        <v>0</v>
      </c>
      <c r="O7" s="26">
        <v>0</v>
      </c>
      <c r="P7" s="26">
        <v>0</v>
      </c>
      <c r="Q7" s="26">
        <v>0</v>
      </c>
      <c r="R7" s="26">
        <v>0</v>
      </c>
      <c r="S7" s="26">
        <v>0</v>
      </c>
      <c r="T7" s="26">
        <v>0</v>
      </c>
      <c r="U7" s="26">
        <v>0</v>
      </c>
      <c r="V7" s="26">
        <v>0</v>
      </c>
      <c r="W7" s="26">
        <v>0</v>
      </c>
      <c r="X7" s="26">
        <v>0</v>
      </c>
      <c r="Y7" s="26">
        <v>0</v>
      </c>
      <c r="Z7" s="26">
        <v>0</v>
      </c>
      <c r="AA7" s="27">
        <f t="shared" si="0"/>
        <v>157.5</v>
      </c>
      <c r="AB7" s="21">
        <f>IF($A7="","",IF(OR(Dashboard!$D$4="All",Dashboard!$D$4=$A7),IF(Dashboard!$G$4="All",SUM($C7:$V7),INDEX($C7:$V7,MATCH(Dashboard!$G$4,$C$4:$V$4,0))),0))</f>
        <v>0</v>
      </c>
      <c r="AC7" t="str">
        <f t="shared" si="1"/>
        <v/>
      </c>
      <c r="AD7">
        <f t="shared" si="2"/>
        <v>157.5</v>
      </c>
      <c r="AE7">
        <f>IF($B7="","",IF(COUNTIF($B$5:$B7,$B7)=1,1,0))</f>
        <v>1</v>
      </c>
      <c r="AF7">
        <f>IF(AE7=1,SUM($AE$5:AE7),"")</f>
        <v>3</v>
      </c>
    </row>
    <row r="8" spans="1:32" ht="15" customHeight="1" x14ac:dyDescent="0.35">
      <c r="A8" s="25" t="s">
        <v>4</v>
      </c>
      <c r="B8" s="25" t="s">
        <v>87</v>
      </c>
      <c r="C8" s="26">
        <v>0</v>
      </c>
      <c r="D8" s="26">
        <v>0</v>
      </c>
      <c r="E8" s="26">
        <v>0</v>
      </c>
      <c r="F8" s="26">
        <v>0</v>
      </c>
      <c r="G8" s="26">
        <v>0</v>
      </c>
      <c r="H8" s="26">
        <v>0</v>
      </c>
      <c r="I8" s="26">
        <v>0</v>
      </c>
      <c r="J8" s="26">
        <v>151.5</v>
      </c>
      <c r="K8" s="26">
        <v>0</v>
      </c>
      <c r="L8" s="26">
        <v>0</v>
      </c>
      <c r="M8" s="26">
        <v>0</v>
      </c>
      <c r="N8" s="26">
        <v>0</v>
      </c>
      <c r="O8" s="26">
        <v>0</v>
      </c>
      <c r="P8" s="26">
        <v>0</v>
      </c>
      <c r="Q8" s="26">
        <v>0</v>
      </c>
      <c r="R8" s="26">
        <v>0</v>
      </c>
      <c r="S8" s="26">
        <v>0</v>
      </c>
      <c r="T8" s="26">
        <v>0</v>
      </c>
      <c r="U8" s="26">
        <v>0</v>
      </c>
      <c r="V8" s="26">
        <v>0</v>
      </c>
      <c r="W8" s="26">
        <v>0</v>
      </c>
      <c r="X8" s="26">
        <v>0</v>
      </c>
      <c r="Y8" s="26">
        <v>0</v>
      </c>
      <c r="Z8" s="26">
        <v>1</v>
      </c>
      <c r="AA8" s="27">
        <f t="shared" si="0"/>
        <v>151.5</v>
      </c>
      <c r="AB8" s="21">
        <f>IF($A8="","",IF(OR(Dashboard!$D$4="All",Dashboard!$D$4=$A8),IF(Dashboard!$G$4="All",SUM($C8:$V8),INDEX($C8:$V8,MATCH(Dashboard!$G$4,$C$4:$V$4,0))),0))</f>
        <v>0</v>
      </c>
      <c r="AC8" t="str">
        <f t="shared" si="1"/>
        <v/>
      </c>
      <c r="AD8">
        <f t="shared" si="2"/>
        <v>151.5</v>
      </c>
      <c r="AE8">
        <f>IF($B8="","",IF(COUNTIF($B$5:$B8,$B8)=1,1,0))</f>
        <v>1</v>
      </c>
      <c r="AF8">
        <f>IF(AE8=1,SUM($AE$5:AE8),"")</f>
        <v>4</v>
      </c>
    </row>
    <row r="9" spans="1:32" ht="15" customHeight="1" x14ac:dyDescent="0.35">
      <c r="A9" s="25" t="s">
        <v>4</v>
      </c>
      <c r="B9" s="25" t="s">
        <v>88</v>
      </c>
      <c r="C9" s="26">
        <v>35</v>
      </c>
      <c r="D9" s="26">
        <v>98.5</v>
      </c>
      <c r="E9" s="26">
        <v>0</v>
      </c>
      <c r="F9" s="26">
        <v>0</v>
      </c>
      <c r="G9" s="26">
        <v>0</v>
      </c>
      <c r="H9" s="26">
        <v>0</v>
      </c>
      <c r="I9" s="26">
        <v>0</v>
      </c>
      <c r="J9" s="26">
        <v>0</v>
      </c>
      <c r="K9" s="26">
        <v>0</v>
      </c>
      <c r="L9" s="26">
        <v>0</v>
      </c>
      <c r="M9" s="26">
        <v>0</v>
      </c>
      <c r="N9" s="26">
        <v>0</v>
      </c>
      <c r="O9" s="26">
        <v>0</v>
      </c>
      <c r="P9" s="26">
        <v>14</v>
      </c>
      <c r="Q9" s="26">
        <v>0</v>
      </c>
      <c r="R9" s="26">
        <v>0</v>
      </c>
      <c r="S9" s="26">
        <v>0</v>
      </c>
      <c r="T9" s="26">
        <v>0</v>
      </c>
      <c r="U9" s="26">
        <v>0</v>
      </c>
      <c r="V9" s="26">
        <v>0</v>
      </c>
      <c r="W9" s="26">
        <v>0</v>
      </c>
      <c r="X9" s="26">
        <v>0</v>
      </c>
      <c r="Y9" s="26">
        <v>0</v>
      </c>
      <c r="Z9" s="26">
        <v>1</v>
      </c>
      <c r="AA9" s="27">
        <f t="shared" si="0"/>
        <v>147.5</v>
      </c>
      <c r="AB9" s="21">
        <f>IF($A9="","",IF(OR(Dashboard!$D$4="All",Dashboard!$D$4=$A9),IF(Dashboard!$G$4="All",SUM($C9:$V9),INDEX($C9:$V9,MATCH(Dashboard!$G$4,$C$4:$V$4,0))),0))</f>
        <v>98.5</v>
      </c>
      <c r="AC9">
        <f t="shared" si="1"/>
        <v>2</v>
      </c>
      <c r="AD9">
        <f t="shared" si="2"/>
        <v>147.5</v>
      </c>
      <c r="AE9">
        <f>IF($B9="","",IF(COUNTIF($B$5:$B9,$B9)=1,1,0))</f>
        <v>1</v>
      </c>
      <c r="AF9">
        <f>IF(AE9=1,SUM($AE$5:AE9),"")</f>
        <v>5</v>
      </c>
    </row>
    <row r="10" spans="1:32" ht="15" customHeight="1" x14ac:dyDescent="0.35">
      <c r="A10" s="25" t="s">
        <v>4</v>
      </c>
      <c r="B10" s="25" t="s">
        <v>89</v>
      </c>
      <c r="C10" s="26">
        <v>0</v>
      </c>
      <c r="D10" s="26">
        <v>0</v>
      </c>
      <c r="E10" s="26">
        <v>0</v>
      </c>
      <c r="F10" s="26">
        <v>113.75</v>
      </c>
      <c r="G10" s="26">
        <v>0</v>
      </c>
      <c r="H10" s="26">
        <v>0</v>
      </c>
      <c r="I10" s="26">
        <v>0</v>
      </c>
      <c r="J10" s="26">
        <v>0</v>
      </c>
      <c r="K10" s="26">
        <v>0</v>
      </c>
      <c r="L10" s="26">
        <v>0</v>
      </c>
      <c r="M10" s="26">
        <v>0</v>
      </c>
      <c r="N10" s="26">
        <v>0</v>
      </c>
      <c r="O10" s="26">
        <v>0</v>
      </c>
      <c r="P10" s="26">
        <v>0</v>
      </c>
      <c r="Q10" s="26">
        <v>0</v>
      </c>
      <c r="R10" s="26">
        <v>0</v>
      </c>
      <c r="S10" s="26">
        <v>0</v>
      </c>
      <c r="T10" s="26">
        <v>0</v>
      </c>
      <c r="U10" s="26">
        <v>0</v>
      </c>
      <c r="V10" s="26">
        <v>0</v>
      </c>
      <c r="W10" s="26">
        <v>0</v>
      </c>
      <c r="X10" s="26">
        <v>0</v>
      </c>
      <c r="Y10" s="26">
        <v>0</v>
      </c>
      <c r="Z10" s="26">
        <v>4.5</v>
      </c>
      <c r="AA10" s="27">
        <f t="shared" si="0"/>
        <v>113.75</v>
      </c>
      <c r="AB10" s="21">
        <f>IF($A10="","",IF(OR(Dashboard!$D$4="All",Dashboard!$D$4=$A10),IF(Dashboard!$G$4="All",SUM($C10:$V10),INDEX($C10:$V10,MATCH(Dashboard!$G$4,$C$4:$V$4,0))),0))</f>
        <v>0</v>
      </c>
      <c r="AC10" t="str">
        <f t="shared" si="1"/>
        <v/>
      </c>
      <c r="AD10">
        <f t="shared" si="2"/>
        <v>113.75</v>
      </c>
      <c r="AE10">
        <f>IF($B10="","",IF(COUNTIF($B$5:$B10,$B10)=1,1,0))</f>
        <v>1</v>
      </c>
      <c r="AF10">
        <f>IF(AE10=1,SUM($AE$5:AE10),"")</f>
        <v>6</v>
      </c>
    </row>
    <row r="11" spans="1:32" ht="15" customHeight="1" x14ac:dyDescent="0.35">
      <c r="A11" s="25" t="s">
        <v>4</v>
      </c>
      <c r="B11" s="25" t="s">
        <v>90</v>
      </c>
      <c r="C11" s="26">
        <v>0</v>
      </c>
      <c r="D11" s="26">
        <v>0</v>
      </c>
      <c r="E11" s="26">
        <v>0</v>
      </c>
      <c r="F11" s="26">
        <v>4</v>
      </c>
      <c r="G11" s="26">
        <v>0</v>
      </c>
      <c r="H11" s="26">
        <v>0</v>
      </c>
      <c r="I11" s="26">
        <v>0</v>
      </c>
      <c r="J11" s="26">
        <v>0</v>
      </c>
      <c r="K11" s="26">
        <v>9</v>
      </c>
      <c r="L11" s="26">
        <v>0</v>
      </c>
      <c r="M11" s="26">
        <v>0</v>
      </c>
      <c r="N11" s="26">
        <v>0</v>
      </c>
      <c r="O11" s="26">
        <v>0</v>
      </c>
      <c r="P11" s="26">
        <v>0</v>
      </c>
      <c r="Q11" s="26">
        <v>0</v>
      </c>
      <c r="R11" s="26">
        <v>0</v>
      </c>
      <c r="S11" s="26">
        <v>0</v>
      </c>
      <c r="T11" s="26">
        <v>0</v>
      </c>
      <c r="U11" s="26">
        <v>0</v>
      </c>
      <c r="V11" s="26">
        <v>0</v>
      </c>
      <c r="W11" s="26">
        <v>0</v>
      </c>
      <c r="X11" s="26">
        <v>0</v>
      </c>
      <c r="Y11" s="26">
        <v>7</v>
      </c>
      <c r="Z11" s="26">
        <v>0</v>
      </c>
      <c r="AA11" s="27">
        <f t="shared" si="0"/>
        <v>13</v>
      </c>
      <c r="AB11" s="21">
        <f>IF($A11="","",IF(OR(Dashboard!$D$4="All",Dashboard!$D$4=$A11),IF(Dashboard!$G$4="All",SUM($C11:$V11),INDEX($C11:$V11,MATCH(Dashboard!$G$4,$C$4:$V$4,0))),0))</f>
        <v>0</v>
      </c>
      <c r="AC11" t="str">
        <f t="shared" si="1"/>
        <v/>
      </c>
      <c r="AD11">
        <f t="shared" si="2"/>
        <v>13</v>
      </c>
      <c r="AE11">
        <f>IF($B11="","",IF(COUNTIF($B$5:$B11,$B11)=1,1,0))</f>
        <v>1</v>
      </c>
      <c r="AF11">
        <f>IF(AE11=1,SUM($AE$5:AE11),"")</f>
        <v>7</v>
      </c>
    </row>
    <row r="12" spans="1:32" ht="15" customHeight="1" x14ac:dyDescent="0.35">
      <c r="A12" s="25" t="s">
        <v>4</v>
      </c>
      <c r="B12" s="25" t="s">
        <v>91</v>
      </c>
      <c r="C12" s="26">
        <v>200.25</v>
      </c>
      <c r="D12" s="26">
        <v>0</v>
      </c>
      <c r="E12" s="26">
        <v>0</v>
      </c>
      <c r="F12" s="26">
        <v>0</v>
      </c>
      <c r="G12" s="26">
        <v>0</v>
      </c>
      <c r="H12" s="26">
        <v>0</v>
      </c>
      <c r="I12" s="26">
        <v>0</v>
      </c>
      <c r="J12" s="26">
        <v>0</v>
      </c>
      <c r="K12" s="26">
        <v>0</v>
      </c>
      <c r="L12" s="26">
        <v>0</v>
      </c>
      <c r="M12" s="26">
        <v>0</v>
      </c>
      <c r="N12" s="26">
        <v>0</v>
      </c>
      <c r="O12" s="26">
        <v>0</v>
      </c>
      <c r="P12" s="26">
        <v>0</v>
      </c>
      <c r="Q12" s="26">
        <v>0</v>
      </c>
      <c r="R12" s="26">
        <v>0</v>
      </c>
      <c r="S12" s="26">
        <v>0</v>
      </c>
      <c r="T12" s="26">
        <v>0</v>
      </c>
      <c r="U12" s="26">
        <v>0</v>
      </c>
      <c r="V12" s="26">
        <v>0</v>
      </c>
      <c r="W12" s="26">
        <v>0</v>
      </c>
      <c r="X12" s="26">
        <v>0</v>
      </c>
      <c r="Y12" s="26">
        <v>0</v>
      </c>
      <c r="Z12" s="26">
        <v>0</v>
      </c>
      <c r="AA12" s="27">
        <f t="shared" si="0"/>
        <v>200.25</v>
      </c>
      <c r="AB12" s="21">
        <f>IF($A12="","",IF(OR(Dashboard!$D$4="All",Dashboard!$D$4=$A12),IF(Dashboard!$G$4="All",SUM($C12:$V12),INDEX($C12:$V12,MATCH(Dashboard!$G$4,$C$4:$V$4,0))),0))</f>
        <v>0</v>
      </c>
      <c r="AC12" t="str">
        <f t="shared" si="1"/>
        <v/>
      </c>
      <c r="AD12">
        <f t="shared" si="2"/>
        <v>200.25</v>
      </c>
      <c r="AE12">
        <f>IF($B12="","",IF(COUNTIF($B$5:$B12,$B12)=1,1,0))</f>
        <v>1</v>
      </c>
      <c r="AF12">
        <f>IF(AE12=1,SUM($AE$5:AE12),"")</f>
        <v>8</v>
      </c>
    </row>
    <row r="13" spans="1:32" ht="15" customHeight="1" x14ac:dyDescent="0.35">
      <c r="A13" s="25" t="s">
        <v>4</v>
      </c>
      <c r="B13" s="25" t="s">
        <v>92</v>
      </c>
      <c r="C13" s="26">
        <v>9</v>
      </c>
      <c r="D13" s="26">
        <v>37</v>
      </c>
      <c r="E13" s="26">
        <v>0</v>
      </c>
      <c r="F13" s="26">
        <v>6.75</v>
      </c>
      <c r="G13" s="26">
        <v>0</v>
      </c>
      <c r="H13" s="26">
        <v>0</v>
      </c>
      <c r="I13" s="26">
        <v>0</v>
      </c>
      <c r="J13" s="26">
        <v>0</v>
      </c>
      <c r="K13" s="26">
        <v>0</v>
      </c>
      <c r="L13" s="26">
        <v>0</v>
      </c>
      <c r="M13" s="26">
        <v>0</v>
      </c>
      <c r="N13" s="26">
        <v>0</v>
      </c>
      <c r="O13" s="26">
        <v>0</v>
      </c>
      <c r="P13" s="26">
        <v>0</v>
      </c>
      <c r="Q13" s="26">
        <v>0</v>
      </c>
      <c r="R13" s="26">
        <v>0</v>
      </c>
      <c r="S13" s="26">
        <v>0</v>
      </c>
      <c r="T13" s="26">
        <v>0</v>
      </c>
      <c r="U13" s="26">
        <v>0</v>
      </c>
      <c r="V13" s="26">
        <v>64</v>
      </c>
      <c r="W13" s="26">
        <v>0</v>
      </c>
      <c r="X13" s="26">
        <v>0</v>
      </c>
      <c r="Y13" s="26">
        <v>37.75</v>
      </c>
      <c r="Z13" s="26">
        <v>1</v>
      </c>
      <c r="AA13" s="27">
        <f t="shared" si="0"/>
        <v>116.75</v>
      </c>
      <c r="AB13" s="21">
        <f>IF($A13="","",IF(OR(Dashboard!$D$4="All",Dashboard!$D$4=$A13),IF(Dashboard!$G$4="All",SUM($C13:$V13),INDEX($C13:$V13,MATCH(Dashboard!$G$4,$C$4:$V$4,0))),0))</f>
        <v>37</v>
      </c>
      <c r="AC13">
        <f t="shared" si="1"/>
        <v>3</v>
      </c>
      <c r="AD13">
        <f t="shared" si="2"/>
        <v>116.75</v>
      </c>
      <c r="AE13">
        <f>IF($B13="","",IF(COUNTIF($B$5:$B13,$B13)=1,1,0))</f>
        <v>1</v>
      </c>
      <c r="AF13">
        <f>IF(AE13=1,SUM($AE$5:AE13),"")</f>
        <v>9</v>
      </c>
    </row>
    <row r="14" spans="1:32" ht="15" customHeight="1" x14ac:dyDescent="0.35">
      <c r="A14" s="25" t="s">
        <v>4</v>
      </c>
      <c r="B14" s="25" t="s">
        <v>93</v>
      </c>
      <c r="C14" s="26">
        <v>21</v>
      </c>
      <c r="D14" s="26">
        <v>0</v>
      </c>
      <c r="E14" s="26">
        <v>0</v>
      </c>
      <c r="F14" s="26">
        <v>0</v>
      </c>
      <c r="G14" s="26">
        <v>0</v>
      </c>
      <c r="H14" s="26">
        <v>0</v>
      </c>
      <c r="I14" s="26">
        <v>0</v>
      </c>
      <c r="J14" s="26">
        <v>0</v>
      </c>
      <c r="K14" s="26">
        <v>0</v>
      </c>
      <c r="L14" s="26">
        <v>0</v>
      </c>
      <c r="M14" s="26">
        <v>0</v>
      </c>
      <c r="N14" s="26">
        <v>0</v>
      </c>
      <c r="O14" s="26">
        <v>0</v>
      </c>
      <c r="P14" s="26">
        <v>0</v>
      </c>
      <c r="Q14" s="26">
        <v>0</v>
      </c>
      <c r="R14" s="26">
        <v>0</v>
      </c>
      <c r="S14" s="26">
        <v>0</v>
      </c>
      <c r="T14" s="26">
        <v>0</v>
      </c>
      <c r="U14" s="26">
        <v>0</v>
      </c>
      <c r="V14" s="26">
        <v>0</v>
      </c>
      <c r="W14" s="26">
        <v>0</v>
      </c>
      <c r="X14" s="26">
        <v>0</v>
      </c>
      <c r="Y14" s="26">
        <v>0</v>
      </c>
      <c r="Z14" s="26">
        <v>16.5</v>
      </c>
      <c r="AA14" s="27">
        <f t="shared" si="0"/>
        <v>21</v>
      </c>
      <c r="AB14" s="21">
        <f>IF($A14="","",IF(OR(Dashboard!$D$4="All",Dashboard!$D$4=$A14),IF(Dashboard!$G$4="All",SUM($C14:$V14),INDEX($C14:$V14,MATCH(Dashboard!$G$4,$C$4:$V$4,0))),0))</f>
        <v>0</v>
      </c>
      <c r="AC14" t="str">
        <f t="shared" si="1"/>
        <v/>
      </c>
      <c r="AD14">
        <f t="shared" si="2"/>
        <v>21</v>
      </c>
      <c r="AE14">
        <f>IF($B14="","",IF(COUNTIF($B$5:$B14,$B14)=1,1,0))</f>
        <v>1</v>
      </c>
      <c r="AF14">
        <f>IF(AE14=1,SUM($AE$5:AE14),"")</f>
        <v>10</v>
      </c>
    </row>
    <row r="15" spans="1:32" ht="15" customHeight="1" x14ac:dyDescent="0.35">
      <c r="A15" s="25" t="s">
        <v>4</v>
      </c>
      <c r="B15" s="25" t="s">
        <v>94</v>
      </c>
      <c r="C15" s="26">
        <v>0</v>
      </c>
      <c r="D15" s="26">
        <v>56.75</v>
      </c>
      <c r="E15" s="26">
        <v>0</v>
      </c>
      <c r="F15" s="26">
        <v>41.75</v>
      </c>
      <c r="G15" s="26">
        <v>0</v>
      </c>
      <c r="H15" s="26">
        <v>0</v>
      </c>
      <c r="I15" s="26">
        <v>0</v>
      </c>
      <c r="J15" s="26">
        <v>0</v>
      </c>
      <c r="K15" s="26">
        <v>0</v>
      </c>
      <c r="L15" s="26">
        <v>0</v>
      </c>
      <c r="M15" s="26">
        <v>19</v>
      </c>
      <c r="N15" s="26">
        <v>0</v>
      </c>
      <c r="O15" s="26">
        <v>0</v>
      </c>
      <c r="P15" s="26">
        <v>0</v>
      </c>
      <c r="Q15" s="26">
        <v>0</v>
      </c>
      <c r="R15" s="26">
        <v>0</v>
      </c>
      <c r="S15" s="26">
        <v>0</v>
      </c>
      <c r="T15" s="26">
        <v>0</v>
      </c>
      <c r="U15" s="26">
        <v>0</v>
      </c>
      <c r="V15" s="26">
        <v>25</v>
      </c>
      <c r="W15" s="26">
        <v>0</v>
      </c>
      <c r="X15" s="26">
        <v>0</v>
      </c>
      <c r="Y15" s="26">
        <v>0</v>
      </c>
      <c r="Z15" s="26">
        <v>1</v>
      </c>
      <c r="AA15" s="27">
        <f t="shared" si="0"/>
        <v>142.5</v>
      </c>
      <c r="AB15" s="21">
        <f>IF($A15="","",IF(OR(Dashboard!$D$4="All",Dashboard!$D$4=$A15),IF(Dashboard!$G$4="All",SUM($C15:$V15),INDEX($C15:$V15,MATCH(Dashboard!$G$4,$C$4:$V$4,0))),0))</f>
        <v>56.75</v>
      </c>
      <c r="AC15">
        <f t="shared" si="1"/>
        <v>4</v>
      </c>
      <c r="AD15">
        <f t="shared" si="2"/>
        <v>142.5</v>
      </c>
      <c r="AE15">
        <f>IF($B15="","",IF(COUNTIF($B$5:$B15,$B15)=1,1,0))</f>
        <v>1</v>
      </c>
      <c r="AF15">
        <f>IF(AE15=1,SUM($AE$5:AE15),"")</f>
        <v>11</v>
      </c>
    </row>
    <row r="16" spans="1:32" ht="15" customHeight="1" x14ac:dyDescent="0.35">
      <c r="A16" s="25" t="s">
        <v>4</v>
      </c>
      <c r="B16" s="25" t="s">
        <v>95</v>
      </c>
      <c r="C16" s="26">
        <v>0</v>
      </c>
      <c r="D16" s="26">
        <v>0</v>
      </c>
      <c r="E16" s="26">
        <v>0</v>
      </c>
      <c r="F16" s="26">
        <v>0</v>
      </c>
      <c r="G16" s="26">
        <v>0</v>
      </c>
      <c r="H16" s="26">
        <v>0</v>
      </c>
      <c r="I16" s="26">
        <v>0</v>
      </c>
      <c r="J16" s="26">
        <v>126</v>
      </c>
      <c r="K16" s="26">
        <v>0</v>
      </c>
      <c r="L16" s="26">
        <v>0</v>
      </c>
      <c r="M16" s="26">
        <v>0</v>
      </c>
      <c r="N16" s="26">
        <v>0</v>
      </c>
      <c r="O16" s="26">
        <v>0</v>
      </c>
      <c r="P16" s="26">
        <v>0</v>
      </c>
      <c r="Q16" s="26">
        <v>0</v>
      </c>
      <c r="R16" s="26">
        <v>0</v>
      </c>
      <c r="S16" s="26">
        <v>0</v>
      </c>
      <c r="T16" s="26">
        <v>0</v>
      </c>
      <c r="U16" s="26">
        <v>0</v>
      </c>
      <c r="V16" s="26">
        <v>0</v>
      </c>
      <c r="W16" s="26">
        <v>0</v>
      </c>
      <c r="X16" s="26">
        <v>0</v>
      </c>
      <c r="Y16" s="26">
        <v>0</v>
      </c>
      <c r="Z16" s="26">
        <v>3</v>
      </c>
      <c r="AA16" s="27">
        <f t="shared" si="0"/>
        <v>126</v>
      </c>
      <c r="AB16" s="21">
        <f>IF($A16="","",IF(OR(Dashboard!$D$4="All",Dashboard!$D$4=$A16),IF(Dashboard!$G$4="All",SUM($C16:$V16),INDEX($C16:$V16,MATCH(Dashboard!$G$4,$C$4:$V$4,0))),0))</f>
        <v>0</v>
      </c>
      <c r="AC16" t="str">
        <f t="shared" si="1"/>
        <v/>
      </c>
      <c r="AD16">
        <f t="shared" si="2"/>
        <v>126</v>
      </c>
      <c r="AE16">
        <f>IF($B16="","",IF(COUNTIF($B$5:$B16,$B16)=1,1,0))</f>
        <v>1</v>
      </c>
      <c r="AF16">
        <f>IF(AE16=1,SUM($AE$5:AE16),"")</f>
        <v>12</v>
      </c>
    </row>
    <row r="17" spans="1:32" ht="15" customHeight="1" x14ac:dyDescent="0.35">
      <c r="A17" s="25" t="s">
        <v>4</v>
      </c>
      <c r="B17" s="25" t="s">
        <v>96</v>
      </c>
      <c r="C17" s="26">
        <v>151</v>
      </c>
      <c r="D17" s="26">
        <v>0</v>
      </c>
      <c r="E17" s="26">
        <v>0</v>
      </c>
      <c r="F17" s="26">
        <v>6</v>
      </c>
      <c r="G17" s="26">
        <v>0</v>
      </c>
      <c r="H17" s="26">
        <v>0</v>
      </c>
      <c r="I17" s="26">
        <v>0</v>
      </c>
      <c r="J17" s="26">
        <v>0</v>
      </c>
      <c r="K17" s="26">
        <v>0</v>
      </c>
      <c r="L17" s="26">
        <v>0</v>
      </c>
      <c r="M17" s="26">
        <v>2</v>
      </c>
      <c r="N17" s="26">
        <v>0</v>
      </c>
      <c r="O17" s="26">
        <v>0</v>
      </c>
      <c r="P17" s="26">
        <v>0</v>
      </c>
      <c r="Q17" s="26">
        <v>0</v>
      </c>
      <c r="R17" s="26">
        <v>0</v>
      </c>
      <c r="S17" s="26">
        <v>0</v>
      </c>
      <c r="T17" s="26">
        <v>0</v>
      </c>
      <c r="U17" s="26">
        <v>0</v>
      </c>
      <c r="V17" s="26">
        <v>0</v>
      </c>
      <c r="W17" s="26">
        <v>0</v>
      </c>
      <c r="X17" s="26">
        <v>0</v>
      </c>
      <c r="Y17" s="26">
        <v>0</v>
      </c>
      <c r="Z17" s="26">
        <v>0</v>
      </c>
      <c r="AA17" s="27">
        <f t="shared" si="0"/>
        <v>159</v>
      </c>
      <c r="AB17" s="21">
        <f>IF($A17="","",IF(OR(Dashboard!$D$4="All",Dashboard!$D$4=$A17),IF(Dashboard!$G$4="All",SUM($C17:$V17),INDEX($C17:$V17,MATCH(Dashboard!$G$4,$C$4:$V$4,0))),0))</f>
        <v>0</v>
      </c>
      <c r="AC17" t="str">
        <f t="shared" si="1"/>
        <v/>
      </c>
      <c r="AD17">
        <f t="shared" si="2"/>
        <v>159</v>
      </c>
      <c r="AE17">
        <f>IF($B17="","",IF(COUNTIF($B$5:$B17,$B17)=1,1,0))</f>
        <v>1</v>
      </c>
      <c r="AF17">
        <f>IF(AE17=1,SUM($AE$5:AE17),"")</f>
        <v>13</v>
      </c>
    </row>
    <row r="18" spans="1:32" ht="15" customHeight="1" x14ac:dyDescent="0.35">
      <c r="A18" s="25" t="s">
        <v>4</v>
      </c>
      <c r="B18" s="25" t="s">
        <v>97</v>
      </c>
      <c r="C18" s="26">
        <v>35</v>
      </c>
      <c r="D18" s="26">
        <v>0</v>
      </c>
      <c r="E18" s="26">
        <v>0</v>
      </c>
      <c r="F18" s="26">
        <v>0</v>
      </c>
      <c r="G18" s="26">
        <v>0</v>
      </c>
      <c r="H18" s="26">
        <v>0</v>
      </c>
      <c r="I18" s="26">
        <v>0</v>
      </c>
      <c r="J18" s="26">
        <v>67</v>
      </c>
      <c r="K18" s="26">
        <v>0</v>
      </c>
      <c r="L18" s="26">
        <v>0</v>
      </c>
      <c r="M18" s="26">
        <v>9</v>
      </c>
      <c r="N18" s="26">
        <v>0</v>
      </c>
      <c r="O18" s="26">
        <v>0</v>
      </c>
      <c r="P18" s="26">
        <v>0</v>
      </c>
      <c r="Q18" s="26">
        <v>0</v>
      </c>
      <c r="R18" s="26">
        <v>0</v>
      </c>
      <c r="S18" s="26">
        <v>0</v>
      </c>
      <c r="T18" s="26">
        <v>0</v>
      </c>
      <c r="U18" s="26">
        <v>0</v>
      </c>
      <c r="V18" s="26">
        <v>0</v>
      </c>
      <c r="W18" s="26">
        <v>0</v>
      </c>
      <c r="X18" s="26">
        <v>0</v>
      </c>
      <c r="Y18" s="26">
        <v>1</v>
      </c>
      <c r="Z18" s="26">
        <v>3</v>
      </c>
      <c r="AA18" s="27">
        <f t="shared" si="0"/>
        <v>111</v>
      </c>
      <c r="AB18" s="21">
        <f>IF($A18="","",IF(OR(Dashboard!$D$4="All",Dashboard!$D$4=$A18),IF(Dashboard!$G$4="All",SUM($C18:$V18),INDEX($C18:$V18,MATCH(Dashboard!$G$4,$C$4:$V$4,0))),0))</f>
        <v>0</v>
      </c>
      <c r="AC18" t="str">
        <f t="shared" si="1"/>
        <v/>
      </c>
      <c r="AD18">
        <f t="shared" si="2"/>
        <v>111</v>
      </c>
      <c r="AE18">
        <f>IF($B18="","",IF(COUNTIF($B$5:$B18,$B18)=1,1,0))</f>
        <v>1</v>
      </c>
      <c r="AF18">
        <f>IF(AE18=1,SUM($AE$5:AE18),"")</f>
        <v>14</v>
      </c>
    </row>
    <row r="19" spans="1:32" ht="15" customHeight="1" x14ac:dyDescent="0.35">
      <c r="A19" s="25" t="s">
        <v>4</v>
      </c>
      <c r="B19" s="25" t="s">
        <v>98</v>
      </c>
      <c r="C19" s="26">
        <v>20</v>
      </c>
      <c r="D19" s="26">
        <v>0</v>
      </c>
      <c r="E19" s="26">
        <v>0</v>
      </c>
      <c r="F19" s="26">
        <v>0</v>
      </c>
      <c r="G19" s="26">
        <v>6.5</v>
      </c>
      <c r="H19" s="26">
        <v>0</v>
      </c>
      <c r="I19" s="26">
        <v>0</v>
      </c>
      <c r="J19" s="26">
        <v>0</v>
      </c>
      <c r="K19" s="26">
        <v>55</v>
      </c>
      <c r="L19" s="26">
        <v>0</v>
      </c>
      <c r="M19" s="26">
        <v>14.5</v>
      </c>
      <c r="N19" s="26">
        <v>0</v>
      </c>
      <c r="O19" s="26">
        <v>0</v>
      </c>
      <c r="P19" s="26">
        <v>0</v>
      </c>
      <c r="Q19" s="26">
        <v>0</v>
      </c>
      <c r="R19" s="26">
        <v>0</v>
      </c>
      <c r="S19" s="26">
        <v>0</v>
      </c>
      <c r="T19" s="26">
        <v>0</v>
      </c>
      <c r="U19" s="26">
        <v>0</v>
      </c>
      <c r="V19" s="26">
        <v>0</v>
      </c>
      <c r="W19" s="26">
        <v>57.5</v>
      </c>
      <c r="X19" s="26">
        <v>0</v>
      </c>
      <c r="Y19" s="26">
        <v>0</v>
      </c>
      <c r="Z19" s="26">
        <v>1</v>
      </c>
      <c r="AA19" s="27">
        <f t="shared" si="0"/>
        <v>153.5</v>
      </c>
      <c r="AB19" s="21">
        <f>IF($A19="","",IF(OR(Dashboard!$D$4="All",Dashboard!$D$4=$A19),IF(Dashboard!$G$4="All",SUM($C19:$V19),INDEX($C19:$V19,MATCH(Dashboard!$G$4,$C$4:$V$4,0))),0))</f>
        <v>0</v>
      </c>
      <c r="AC19" t="str">
        <f t="shared" si="1"/>
        <v/>
      </c>
      <c r="AD19">
        <f t="shared" si="2"/>
        <v>96</v>
      </c>
      <c r="AE19">
        <f>IF($B19="","",IF(COUNTIF($B$5:$B19,$B19)=1,1,0))</f>
        <v>1</v>
      </c>
      <c r="AF19">
        <f>IF(AE19=1,SUM($AE$5:AE19),"")</f>
        <v>15</v>
      </c>
    </row>
    <row r="20" spans="1:32" ht="15" customHeight="1" x14ac:dyDescent="0.35">
      <c r="A20" s="25" t="s">
        <v>4</v>
      </c>
      <c r="B20" s="25" t="s">
        <v>99</v>
      </c>
      <c r="C20" s="26">
        <v>0</v>
      </c>
      <c r="D20" s="26">
        <v>0</v>
      </c>
      <c r="E20" s="26">
        <v>0</v>
      </c>
      <c r="F20" s="26">
        <v>38</v>
      </c>
      <c r="G20" s="26">
        <v>60</v>
      </c>
      <c r="H20" s="26">
        <v>0</v>
      </c>
      <c r="I20" s="26">
        <v>0</v>
      </c>
      <c r="J20" s="26">
        <v>0</v>
      </c>
      <c r="K20" s="26">
        <v>0</v>
      </c>
      <c r="L20" s="26">
        <v>0</v>
      </c>
      <c r="M20" s="26">
        <v>0</v>
      </c>
      <c r="N20" s="26">
        <v>0</v>
      </c>
      <c r="O20" s="26">
        <v>35.5</v>
      </c>
      <c r="P20" s="26">
        <v>0</v>
      </c>
      <c r="Q20" s="26">
        <v>0</v>
      </c>
      <c r="R20" s="26">
        <v>0</v>
      </c>
      <c r="S20" s="26">
        <v>0</v>
      </c>
      <c r="T20" s="26">
        <v>0</v>
      </c>
      <c r="U20" s="26">
        <v>0</v>
      </c>
      <c r="V20" s="26">
        <v>0</v>
      </c>
      <c r="W20" s="26">
        <v>0</v>
      </c>
      <c r="X20" s="26">
        <v>2</v>
      </c>
      <c r="Y20" s="26">
        <v>2</v>
      </c>
      <c r="Z20" s="26">
        <v>1</v>
      </c>
      <c r="AA20" s="27">
        <f t="shared" si="0"/>
        <v>133.5</v>
      </c>
      <c r="AB20" s="21">
        <f>IF($A20="","",IF(OR(Dashboard!$D$4="All",Dashboard!$D$4=$A20),IF(Dashboard!$G$4="All",SUM($C20:$V20),INDEX($C20:$V20,MATCH(Dashboard!$G$4,$C$4:$V$4,0))),0))</f>
        <v>0</v>
      </c>
      <c r="AC20" t="str">
        <f t="shared" si="1"/>
        <v/>
      </c>
      <c r="AD20">
        <f t="shared" si="2"/>
        <v>133.5</v>
      </c>
      <c r="AE20">
        <f>IF($B20="","",IF(COUNTIF($B$5:$B20,$B20)=1,1,0))</f>
        <v>1</v>
      </c>
      <c r="AF20">
        <f>IF(AE20=1,SUM($AE$5:AE20),"")</f>
        <v>16</v>
      </c>
    </row>
    <row r="21" spans="1:32" ht="15" customHeight="1" x14ac:dyDescent="0.35">
      <c r="A21" s="25" t="s">
        <v>4</v>
      </c>
      <c r="B21" s="25" t="s">
        <v>100</v>
      </c>
      <c r="C21" s="26">
        <v>0</v>
      </c>
      <c r="D21" s="26">
        <v>0</v>
      </c>
      <c r="E21" s="26">
        <v>137</v>
      </c>
      <c r="F21" s="26">
        <v>11</v>
      </c>
      <c r="G21" s="26">
        <v>0</v>
      </c>
      <c r="H21" s="26">
        <v>0</v>
      </c>
      <c r="I21" s="26">
        <v>0</v>
      </c>
      <c r="J21" s="26">
        <v>0</v>
      </c>
      <c r="K21" s="26">
        <v>0</v>
      </c>
      <c r="L21" s="26">
        <v>0</v>
      </c>
      <c r="M21" s="26">
        <v>0</v>
      </c>
      <c r="N21" s="26">
        <v>0</v>
      </c>
      <c r="O21" s="26">
        <v>0</v>
      </c>
      <c r="P21" s="26">
        <v>0</v>
      </c>
      <c r="Q21" s="26">
        <v>0</v>
      </c>
      <c r="R21" s="26">
        <v>0</v>
      </c>
      <c r="S21" s="26">
        <v>0</v>
      </c>
      <c r="T21" s="26">
        <v>0</v>
      </c>
      <c r="U21" s="26">
        <v>0</v>
      </c>
      <c r="V21" s="26">
        <v>0</v>
      </c>
      <c r="W21" s="26">
        <v>0</v>
      </c>
      <c r="X21" s="26">
        <v>0</v>
      </c>
      <c r="Y21" s="26">
        <v>0</v>
      </c>
      <c r="Z21" s="26">
        <v>0</v>
      </c>
      <c r="AA21" s="27">
        <f t="shared" si="0"/>
        <v>148</v>
      </c>
      <c r="AB21" s="21">
        <f>IF($A21="","",IF(OR(Dashboard!$D$4="All",Dashboard!$D$4=$A21),IF(Dashboard!$G$4="All",SUM($C21:$V21),INDEX($C21:$V21,MATCH(Dashboard!$G$4,$C$4:$V$4,0))),0))</f>
        <v>0</v>
      </c>
      <c r="AC21" t="str">
        <f t="shared" si="1"/>
        <v/>
      </c>
      <c r="AD21">
        <f t="shared" si="2"/>
        <v>148</v>
      </c>
      <c r="AE21">
        <f>IF($B21="","",IF(COUNTIF($B$5:$B21,$B21)=1,1,0))</f>
        <v>1</v>
      </c>
      <c r="AF21">
        <f>IF(AE21=1,SUM($AE$5:AE21),"")</f>
        <v>17</v>
      </c>
    </row>
    <row r="22" spans="1:32" ht="15" customHeight="1" x14ac:dyDescent="0.35">
      <c r="A22" s="25" t="s">
        <v>4</v>
      </c>
      <c r="B22" s="25" t="s">
        <v>101</v>
      </c>
      <c r="C22" s="26">
        <v>135.25</v>
      </c>
      <c r="D22" s="26">
        <v>0</v>
      </c>
      <c r="E22" s="26">
        <v>0</v>
      </c>
      <c r="F22" s="26">
        <v>0</v>
      </c>
      <c r="G22" s="26">
        <v>0</v>
      </c>
      <c r="H22" s="26">
        <v>0</v>
      </c>
      <c r="I22" s="26">
        <v>0</v>
      </c>
      <c r="J22" s="26">
        <v>0</v>
      </c>
      <c r="K22" s="26">
        <v>0</v>
      </c>
      <c r="L22" s="26">
        <v>0</v>
      </c>
      <c r="M22" s="26">
        <v>0</v>
      </c>
      <c r="N22" s="26">
        <v>0</v>
      </c>
      <c r="O22" s="26">
        <v>0</v>
      </c>
      <c r="P22" s="26">
        <v>0</v>
      </c>
      <c r="Q22" s="26">
        <v>0</v>
      </c>
      <c r="R22" s="26">
        <v>0</v>
      </c>
      <c r="S22" s="26">
        <v>0</v>
      </c>
      <c r="T22" s="26">
        <v>0</v>
      </c>
      <c r="U22" s="26">
        <v>0</v>
      </c>
      <c r="V22" s="26">
        <v>0</v>
      </c>
      <c r="W22" s="26">
        <v>0</v>
      </c>
      <c r="X22" s="26">
        <v>0</v>
      </c>
      <c r="Y22" s="26">
        <v>0</v>
      </c>
      <c r="Z22" s="26">
        <v>3</v>
      </c>
      <c r="AA22" s="27">
        <f t="shared" si="0"/>
        <v>135.25</v>
      </c>
      <c r="AB22" s="21">
        <f>IF($A22="","",IF(OR(Dashboard!$D$4="All",Dashboard!$D$4=$A22),IF(Dashboard!$G$4="All",SUM($C22:$V22),INDEX($C22:$V22,MATCH(Dashboard!$G$4,$C$4:$V$4,0))),0))</f>
        <v>0</v>
      </c>
      <c r="AC22" t="str">
        <f t="shared" si="1"/>
        <v/>
      </c>
      <c r="AD22">
        <f t="shared" si="2"/>
        <v>135.25</v>
      </c>
      <c r="AE22">
        <f>IF($B22="","",IF(COUNTIF($B$5:$B22,$B22)=1,1,0))</f>
        <v>1</v>
      </c>
      <c r="AF22">
        <f>IF(AE22=1,SUM($AE$5:AE22),"")</f>
        <v>18</v>
      </c>
    </row>
    <row r="23" spans="1:32" ht="15" customHeight="1" x14ac:dyDescent="0.35">
      <c r="A23" s="25" t="s">
        <v>4</v>
      </c>
      <c r="B23" s="25" t="s">
        <v>102</v>
      </c>
      <c r="C23" s="26">
        <v>0</v>
      </c>
      <c r="D23" s="26">
        <v>0</v>
      </c>
      <c r="E23" s="26">
        <v>0</v>
      </c>
      <c r="F23" s="26">
        <v>30</v>
      </c>
      <c r="G23" s="26">
        <v>6.5</v>
      </c>
      <c r="H23" s="26">
        <v>0</v>
      </c>
      <c r="I23" s="26">
        <v>0</v>
      </c>
      <c r="J23" s="26">
        <v>0</v>
      </c>
      <c r="K23" s="26">
        <v>4</v>
      </c>
      <c r="L23" s="26">
        <v>0</v>
      </c>
      <c r="M23" s="26">
        <v>0</v>
      </c>
      <c r="N23" s="26">
        <v>0</v>
      </c>
      <c r="O23" s="26">
        <v>0</v>
      </c>
      <c r="P23" s="26">
        <v>0</v>
      </c>
      <c r="Q23" s="26">
        <v>0</v>
      </c>
      <c r="R23" s="26">
        <v>0</v>
      </c>
      <c r="S23" s="26">
        <v>0</v>
      </c>
      <c r="T23" s="26">
        <v>0</v>
      </c>
      <c r="U23" s="26">
        <v>0</v>
      </c>
      <c r="V23" s="26">
        <v>0</v>
      </c>
      <c r="W23" s="26">
        <v>97</v>
      </c>
      <c r="X23" s="26">
        <v>0</v>
      </c>
      <c r="Y23" s="26">
        <v>0</v>
      </c>
      <c r="Z23" s="26">
        <v>1</v>
      </c>
      <c r="AA23" s="27">
        <f t="shared" si="0"/>
        <v>137.5</v>
      </c>
      <c r="AB23" s="21">
        <f>IF($A23="","",IF(OR(Dashboard!$D$4="All",Dashboard!$D$4=$A23),IF(Dashboard!$G$4="All",SUM($C23:$V23),INDEX($C23:$V23,MATCH(Dashboard!$G$4,$C$4:$V$4,0))),0))</f>
        <v>0</v>
      </c>
      <c r="AC23" t="str">
        <f t="shared" si="1"/>
        <v/>
      </c>
      <c r="AD23">
        <f t="shared" si="2"/>
        <v>40.5</v>
      </c>
      <c r="AE23">
        <f>IF($B23="","",IF(COUNTIF($B$5:$B23,$B23)=1,1,0))</f>
        <v>1</v>
      </c>
      <c r="AF23">
        <f>IF(AE23=1,SUM($AE$5:AE23),"")</f>
        <v>19</v>
      </c>
    </row>
    <row r="24" spans="1:32" ht="15" customHeight="1" x14ac:dyDescent="0.35">
      <c r="A24" s="25" t="s">
        <v>4</v>
      </c>
      <c r="B24" s="25" t="s">
        <v>103</v>
      </c>
      <c r="C24" s="26">
        <v>0</v>
      </c>
      <c r="D24" s="26">
        <v>0</v>
      </c>
      <c r="E24" s="26">
        <v>0</v>
      </c>
      <c r="F24" s="26">
        <v>43.5</v>
      </c>
      <c r="G24" s="26">
        <v>0</v>
      </c>
      <c r="H24" s="26">
        <v>0</v>
      </c>
      <c r="I24" s="26">
        <v>0</v>
      </c>
      <c r="J24" s="26">
        <v>0</v>
      </c>
      <c r="K24" s="26">
        <v>0</v>
      </c>
      <c r="L24" s="26">
        <v>0</v>
      </c>
      <c r="M24" s="26">
        <v>0</v>
      </c>
      <c r="N24" s="26">
        <v>0</v>
      </c>
      <c r="O24" s="26">
        <v>0</v>
      </c>
      <c r="P24" s="26">
        <v>0</v>
      </c>
      <c r="Q24" s="26">
        <v>0</v>
      </c>
      <c r="R24" s="26">
        <v>0</v>
      </c>
      <c r="S24" s="26">
        <v>0</v>
      </c>
      <c r="T24" s="26">
        <v>0</v>
      </c>
      <c r="U24" s="26">
        <v>0</v>
      </c>
      <c r="V24" s="26">
        <v>0</v>
      </c>
      <c r="W24" s="26">
        <v>68.5</v>
      </c>
      <c r="X24" s="26">
        <v>0</v>
      </c>
      <c r="Y24" s="26">
        <v>0</v>
      </c>
      <c r="Z24" s="26">
        <v>5</v>
      </c>
      <c r="AA24" s="27">
        <f t="shared" si="0"/>
        <v>112</v>
      </c>
      <c r="AB24" s="21">
        <f>IF($A24="","",IF(OR(Dashboard!$D$4="All",Dashboard!$D$4=$A24),IF(Dashboard!$G$4="All",SUM($C24:$V24),INDEX($C24:$V24,MATCH(Dashboard!$G$4,$C$4:$V$4,0))),0))</f>
        <v>0</v>
      </c>
      <c r="AC24" t="str">
        <f t="shared" si="1"/>
        <v/>
      </c>
      <c r="AD24">
        <f t="shared" si="2"/>
        <v>43.5</v>
      </c>
      <c r="AE24">
        <f>IF($B24="","",IF(COUNTIF($B$5:$B24,$B24)=1,1,0))</f>
        <v>1</v>
      </c>
      <c r="AF24">
        <f>IF(AE24=1,SUM($AE$5:AE24),"")</f>
        <v>20</v>
      </c>
    </row>
    <row r="25" spans="1:32" ht="15" customHeight="1" x14ac:dyDescent="0.35">
      <c r="A25" s="25" t="s">
        <v>4</v>
      </c>
      <c r="B25" s="25" t="s">
        <v>104</v>
      </c>
      <c r="C25" s="26">
        <v>0</v>
      </c>
      <c r="D25" s="26">
        <v>0</v>
      </c>
      <c r="E25" s="26">
        <v>0</v>
      </c>
      <c r="F25" s="26">
        <v>53.5</v>
      </c>
      <c r="G25" s="26">
        <v>0</v>
      </c>
      <c r="H25" s="26">
        <v>0</v>
      </c>
      <c r="I25" s="26">
        <v>0</v>
      </c>
      <c r="J25" s="26">
        <v>0</v>
      </c>
      <c r="K25" s="26">
        <v>0</v>
      </c>
      <c r="L25" s="26">
        <v>0</v>
      </c>
      <c r="M25" s="26">
        <v>0</v>
      </c>
      <c r="N25" s="26">
        <v>0</v>
      </c>
      <c r="O25" s="26">
        <v>1.5</v>
      </c>
      <c r="P25" s="26">
        <v>0</v>
      </c>
      <c r="Q25" s="26">
        <v>0</v>
      </c>
      <c r="R25" s="26">
        <v>0</v>
      </c>
      <c r="S25" s="26">
        <v>0</v>
      </c>
      <c r="T25" s="26">
        <v>0</v>
      </c>
      <c r="U25" s="26">
        <v>0</v>
      </c>
      <c r="V25" s="26">
        <v>0</v>
      </c>
      <c r="W25" s="26">
        <v>62</v>
      </c>
      <c r="X25" s="26">
        <v>2.5</v>
      </c>
      <c r="Y25" s="26">
        <v>0</v>
      </c>
      <c r="Z25" s="26">
        <v>3.5</v>
      </c>
      <c r="AA25" s="27">
        <f t="shared" si="0"/>
        <v>117</v>
      </c>
      <c r="AB25" s="21">
        <f>IF($A25="","",IF(OR(Dashboard!$D$4="All",Dashboard!$D$4=$A25),IF(Dashboard!$G$4="All",SUM($C25:$V25),INDEX($C25:$V25,MATCH(Dashboard!$G$4,$C$4:$V$4,0))),0))</f>
        <v>0</v>
      </c>
      <c r="AC25" t="str">
        <f t="shared" si="1"/>
        <v/>
      </c>
      <c r="AD25">
        <f t="shared" si="2"/>
        <v>55</v>
      </c>
      <c r="AE25">
        <f>IF($B25="","",IF(COUNTIF($B$5:$B25,$B25)=1,1,0))</f>
        <v>1</v>
      </c>
      <c r="AF25">
        <f>IF(AE25=1,SUM($AE$5:AE25),"")</f>
        <v>21</v>
      </c>
    </row>
    <row r="26" spans="1:32" ht="15" customHeight="1" x14ac:dyDescent="0.35">
      <c r="A26" s="25" t="s">
        <v>4</v>
      </c>
      <c r="B26" s="25" t="s">
        <v>105</v>
      </c>
      <c r="C26" s="26">
        <v>0</v>
      </c>
      <c r="D26" s="26">
        <v>0</v>
      </c>
      <c r="E26" s="26">
        <v>0</v>
      </c>
      <c r="F26" s="26">
        <v>59.5</v>
      </c>
      <c r="G26" s="26">
        <v>0</v>
      </c>
      <c r="H26" s="26">
        <v>0</v>
      </c>
      <c r="I26" s="26">
        <v>0</v>
      </c>
      <c r="J26" s="26">
        <v>0</v>
      </c>
      <c r="K26" s="26">
        <v>0</v>
      </c>
      <c r="L26" s="26">
        <v>0</v>
      </c>
      <c r="M26" s="26">
        <v>0</v>
      </c>
      <c r="N26" s="26">
        <v>0</v>
      </c>
      <c r="O26" s="26">
        <v>0</v>
      </c>
      <c r="P26" s="26">
        <v>0</v>
      </c>
      <c r="Q26" s="26">
        <v>0</v>
      </c>
      <c r="R26" s="26">
        <v>0</v>
      </c>
      <c r="S26" s="26">
        <v>0</v>
      </c>
      <c r="T26" s="26">
        <v>0</v>
      </c>
      <c r="U26" s="26">
        <v>0</v>
      </c>
      <c r="V26" s="26">
        <v>0</v>
      </c>
      <c r="W26" s="26">
        <v>78.5</v>
      </c>
      <c r="X26" s="26">
        <v>0</v>
      </c>
      <c r="Y26" s="26">
        <v>0</v>
      </c>
      <c r="Z26" s="26">
        <v>2</v>
      </c>
      <c r="AA26" s="27">
        <f t="shared" si="0"/>
        <v>138</v>
      </c>
      <c r="AB26" s="21">
        <f>IF($A26="","",IF(OR(Dashboard!$D$4="All",Dashboard!$D$4=$A26),IF(Dashboard!$G$4="All",SUM($C26:$V26),INDEX($C26:$V26,MATCH(Dashboard!$G$4,$C$4:$V$4,0))),0))</f>
        <v>0</v>
      </c>
      <c r="AC26" t="str">
        <f t="shared" si="1"/>
        <v/>
      </c>
      <c r="AD26">
        <f t="shared" si="2"/>
        <v>59.5</v>
      </c>
      <c r="AE26">
        <f>IF($B26="","",IF(COUNTIF($B$5:$B26,$B26)=1,1,0))</f>
        <v>1</v>
      </c>
      <c r="AF26">
        <f>IF(AE26=1,SUM($AE$5:AE26),"")</f>
        <v>22</v>
      </c>
    </row>
    <row r="27" spans="1:32" ht="15" customHeight="1" x14ac:dyDescent="0.35">
      <c r="A27" s="25" t="s">
        <v>4</v>
      </c>
      <c r="B27" s="25" t="s">
        <v>106</v>
      </c>
      <c r="C27" s="26">
        <v>0</v>
      </c>
      <c r="D27" s="26">
        <v>0</v>
      </c>
      <c r="E27" s="26">
        <v>0</v>
      </c>
      <c r="F27" s="26">
        <v>29.5</v>
      </c>
      <c r="G27" s="26">
        <v>18</v>
      </c>
      <c r="H27" s="26">
        <v>0</v>
      </c>
      <c r="I27" s="26">
        <v>0</v>
      </c>
      <c r="J27" s="26">
        <v>0</v>
      </c>
      <c r="K27" s="26">
        <v>0</v>
      </c>
      <c r="L27" s="26">
        <v>0</v>
      </c>
      <c r="M27" s="26">
        <v>0</v>
      </c>
      <c r="N27" s="26">
        <v>0</v>
      </c>
      <c r="O27" s="26">
        <v>0</v>
      </c>
      <c r="P27" s="26">
        <v>0</v>
      </c>
      <c r="Q27" s="26">
        <v>0</v>
      </c>
      <c r="R27" s="26">
        <v>0</v>
      </c>
      <c r="S27" s="26">
        <v>0</v>
      </c>
      <c r="T27" s="26">
        <v>0</v>
      </c>
      <c r="U27" s="26">
        <v>0</v>
      </c>
      <c r="V27" s="26">
        <v>0</v>
      </c>
      <c r="W27" s="26">
        <v>24</v>
      </c>
      <c r="X27" s="26">
        <v>0</v>
      </c>
      <c r="Y27" s="26">
        <v>0</v>
      </c>
      <c r="Z27" s="26">
        <v>1</v>
      </c>
      <c r="AA27" s="27">
        <f t="shared" si="0"/>
        <v>71.5</v>
      </c>
      <c r="AB27" s="21">
        <f>IF($A27="","",IF(OR(Dashboard!$D$4="All",Dashboard!$D$4=$A27),IF(Dashboard!$G$4="All",SUM($C27:$V27),INDEX($C27:$V27,MATCH(Dashboard!$G$4,$C$4:$V$4,0))),0))</f>
        <v>0</v>
      </c>
      <c r="AC27" t="str">
        <f t="shared" si="1"/>
        <v/>
      </c>
      <c r="AD27">
        <f t="shared" si="2"/>
        <v>47.5</v>
      </c>
      <c r="AE27">
        <f>IF($B27="","",IF(COUNTIF($B$5:$B27,$B27)=1,1,0))</f>
        <v>1</v>
      </c>
      <c r="AF27">
        <f>IF(AE27=1,SUM($AE$5:AE27),"")</f>
        <v>23</v>
      </c>
    </row>
    <row r="28" spans="1:32" ht="15" customHeight="1" x14ac:dyDescent="0.35">
      <c r="A28" s="25" t="s">
        <v>4</v>
      </c>
      <c r="B28" s="25" t="s">
        <v>107</v>
      </c>
      <c r="C28" s="26">
        <v>37</v>
      </c>
      <c r="D28" s="26">
        <v>0</v>
      </c>
      <c r="E28" s="26">
        <v>0</v>
      </c>
      <c r="F28" s="26">
        <v>102</v>
      </c>
      <c r="G28" s="26">
        <v>0</v>
      </c>
      <c r="H28" s="26">
        <v>0</v>
      </c>
      <c r="I28" s="26">
        <v>0</v>
      </c>
      <c r="J28" s="26">
        <v>0</v>
      </c>
      <c r="K28" s="26">
        <v>0</v>
      </c>
      <c r="L28" s="26">
        <v>0</v>
      </c>
      <c r="M28" s="26">
        <v>0</v>
      </c>
      <c r="N28" s="26">
        <v>0</v>
      </c>
      <c r="O28" s="26">
        <v>0</v>
      </c>
      <c r="P28" s="26">
        <v>0</v>
      </c>
      <c r="Q28" s="26">
        <v>0</v>
      </c>
      <c r="R28" s="26">
        <v>0</v>
      </c>
      <c r="S28" s="26">
        <v>0</v>
      </c>
      <c r="T28" s="26">
        <v>0</v>
      </c>
      <c r="U28" s="26">
        <v>0</v>
      </c>
      <c r="V28" s="26">
        <v>0</v>
      </c>
      <c r="W28" s="26">
        <v>0</v>
      </c>
      <c r="X28" s="26">
        <v>3</v>
      </c>
      <c r="Y28" s="26">
        <v>0</v>
      </c>
      <c r="Z28" s="26">
        <v>1</v>
      </c>
      <c r="AA28" s="27">
        <f t="shared" si="0"/>
        <v>139</v>
      </c>
      <c r="AB28" s="21">
        <f>IF($A28="","",IF(OR(Dashboard!$D$4="All",Dashboard!$D$4=$A28),IF(Dashboard!$G$4="All",SUM($C28:$V28),INDEX($C28:$V28,MATCH(Dashboard!$G$4,$C$4:$V$4,0))),0))</f>
        <v>0</v>
      </c>
      <c r="AC28" t="str">
        <f t="shared" si="1"/>
        <v/>
      </c>
      <c r="AD28">
        <f t="shared" si="2"/>
        <v>139</v>
      </c>
      <c r="AE28">
        <f>IF($B28="","",IF(COUNTIF($B$5:$B28,$B28)=1,1,0))</f>
        <v>1</v>
      </c>
      <c r="AF28">
        <f>IF(AE28=1,SUM($AE$5:AE28),"")</f>
        <v>24</v>
      </c>
    </row>
    <row r="29" spans="1:32" ht="15" customHeight="1" x14ac:dyDescent="0.35">
      <c r="A29" s="25" t="s">
        <v>4</v>
      </c>
      <c r="B29" s="25" t="s">
        <v>108</v>
      </c>
      <c r="C29" s="26">
        <v>0</v>
      </c>
      <c r="D29" s="26">
        <v>0</v>
      </c>
      <c r="E29" s="26">
        <v>0</v>
      </c>
      <c r="F29" s="26">
        <v>15.75</v>
      </c>
      <c r="G29" s="26">
        <v>0</v>
      </c>
      <c r="H29" s="26">
        <v>120</v>
      </c>
      <c r="I29" s="26">
        <v>0</v>
      </c>
      <c r="J29" s="26">
        <v>0</v>
      </c>
      <c r="K29" s="26">
        <v>0</v>
      </c>
      <c r="L29" s="26">
        <v>0</v>
      </c>
      <c r="M29" s="26">
        <v>0</v>
      </c>
      <c r="N29" s="26">
        <v>0</v>
      </c>
      <c r="O29" s="26">
        <v>0</v>
      </c>
      <c r="P29" s="26">
        <v>0</v>
      </c>
      <c r="Q29" s="26">
        <v>0</v>
      </c>
      <c r="R29" s="26">
        <v>0</v>
      </c>
      <c r="S29" s="26">
        <v>0</v>
      </c>
      <c r="T29" s="26">
        <v>0</v>
      </c>
      <c r="U29" s="26">
        <v>0</v>
      </c>
      <c r="V29" s="26">
        <v>0</v>
      </c>
      <c r="W29" s="26">
        <v>0</v>
      </c>
      <c r="X29" s="26">
        <v>5</v>
      </c>
      <c r="Y29" s="26">
        <v>0.5</v>
      </c>
      <c r="Z29" s="26">
        <v>1</v>
      </c>
      <c r="AA29" s="27">
        <f t="shared" si="0"/>
        <v>135.75</v>
      </c>
      <c r="AB29" s="21">
        <f>IF($A29="","",IF(OR(Dashboard!$D$4="All",Dashboard!$D$4=$A29),IF(Dashboard!$G$4="All",SUM($C29:$V29),INDEX($C29:$V29,MATCH(Dashboard!$G$4,$C$4:$V$4,0))),0))</f>
        <v>0</v>
      </c>
      <c r="AC29" t="str">
        <f t="shared" si="1"/>
        <v/>
      </c>
      <c r="AD29">
        <f t="shared" si="2"/>
        <v>135.75</v>
      </c>
      <c r="AE29">
        <f>IF($B29="","",IF(COUNTIF($B$5:$B29,$B29)=1,1,0))</f>
        <v>1</v>
      </c>
      <c r="AF29">
        <f>IF(AE29=1,SUM($AE$5:AE29),"")</f>
        <v>25</v>
      </c>
    </row>
    <row r="30" spans="1:32" ht="15" customHeight="1" x14ac:dyDescent="0.35">
      <c r="A30" s="25" t="s">
        <v>4</v>
      </c>
      <c r="B30" s="25" t="s">
        <v>109</v>
      </c>
      <c r="C30" s="26">
        <v>0</v>
      </c>
      <c r="D30" s="26">
        <v>0</v>
      </c>
      <c r="E30" s="26">
        <v>137</v>
      </c>
      <c r="F30" s="26">
        <v>11</v>
      </c>
      <c r="G30" s="26">
        <v>0</v>
      </c>
      <c r="H30" s="26">
        <v>0</v>
      </c>
      <c r="I30" s="26">
        <v>0</v>
      </c>
      <c r="J30" s="26">
        <v>0</v>
      </c>
      <c r="K30" s="26">
        <v>0</v>
      </c>
      <c r="L30" s="26">
        <v>0</v>
      </c>
      <c r="M30" s="26">
        <v>0</v>
      </c>
      <c r="N30" s="26">
        <v>0</v>
      </c>
      <c r="O30" s="26">
        <v>0</v>
      </c>
      <c r="P30" s="26">
        <v>0</v>
      </c>
      <c r="Q30" s="26">
        <v>0</v>
      </c>
      <c r="R30" s="26">
        <v>0</v>
      </c>
      <c r="S30" s="26">
        <v>0</v>
      </c>
      <c r="T30" s="26">
        <v>0</v>
      </c>
      <c r="U30" s="26">
        <v>0</v>
      </c>
      <c r="V30" s="26">
        <v>0</v>
      </c>
      <c r="W30" s="26">
        <v>0</v>
      </c>
      <c r="X30" s="26">
        <v>0</v>
      </c>
      <c r="Y30" s="26">
        <v>0</v>
      </c>
      <c r="Z30" s="26">
        <v>0</v>
      </c>
      <c r="AA30" s="27">
        <f t="shared" si="0"/>
        <v>148</v>
      </c>
      <c r="AB30" s="21">
        <f>IF($A30="","",IF(OR(Dashboard!$D$4="All",Dashboard!$D$4=$A30),IF(Dashboard!$G$4="All",SUM($C30:$V30),INDEX($C30:$V30,MATCH(Dashboard!$G$4,$C$4:$V$4,0))),0))</f>
        <v>0</v>
      </c>
      <c r="AC30" t="str">
        <f t="shared" si="1"/>
        <v/>
      </c>
      <c r="AD30">
        <f t="shared" si="2"/>
        <v>148</v>
      </c>
      <c r="AE30">
        <f>IF($B30="","",IF(COUNTIF($B$5:$B30,$B30)=1,1,0))</f>
        <v>1</v>
      </c>
      <c r="AF30">
        <f>IF(AE30=1,SUM($AE$5:AE30),"")</f>
        <v>26</v>
      </c>
    </row>
    <row r="31" spans="1:32" ht="15" customHeight="1" x14ac:dyDescent="0.35">
      <c r="A31" s="25" t="s">
        <v>4</v>
      </c>
      <c r="B31" s="25" t="s">
        <v>110</v>
      </c>
      <c r="C31" s="26">
        <v>0</v>
      </c>
      <c r="D31" s="26">
        <v>0</v>
      </c>
      <c r="E31" s="26">
        <v>0</v>
      </c>
      <c r="F31" s="26">
        <v>132.25</v>
      </c>
      <c r="G31" s="26">
        <v>0</v>
      </c>
      <c r="H31" s="26">
        <v>0</v>
      </c>
      <c r="I31" s="26">
        <v>0</v>
      </c>
      <c r="J31" s="26">
        <v>0</v>
      </c>
      <c r="K31" s="26">
        <v>0</v>
      </c>
      <c r="L31" s="26">
        <v>0</v>
      </c>
      <c r="M31" s="26">
        <v>0</v>
      </c>
      <c r="N31" s="26">
        <v>0</v>
      </c>
      <c r="O31" s="26">
        <v>0</v>
      </c>
      <c r="P31" s="26">
        <v>0</v>
      </c>
      <c r="Q31" s="26">
        <v>0</v>
      </c>
      <c r="R31" s="26">
        <v>0</v>
      </c>
      <c r="S31" s="26">
        <v>0</v>
      </c>
      <c r="T31" s="26">
        <v>0</v>
      </c>
      <c r="U31" s="26">
        <v>0</v>
      </c>
      <c r="V31" s="26">
        <v>0</v>
      </c>
      <c r="W31" s="26">
        <v>0</v>
      </c>
      <c r="X31" s="26">
        <v>0</v>
      </c>
      <c r="Y31" s="26">
        <v>0</v>
      </c>
      <c r="Z31" s="26">
        <v>2</v>
      </c>
      <c r="AA31" s="27">
        <f t="shared" si="0"/>
        <v>132.25</v>
      </c>
      <c r="AB31" s="21">
        <f>IF($A31="","",IF(OR(Dashboard!$D$4="All",Dashboard!$D$4=$A31),IF(Dashboard!$G$4="All",SUM($C31:$V31),INDEX($C31:$V31,MATCH(Dashboard!$G$4,$C$4:$V$4,0))),0))</f>
        <v>0</v>
      </c>
      <c r="AC31" t="str">
        <f t="shared" si="1"/>
        <v/>
      </c>
      <c r="AD31">
        <f t="shared" si="2"/>
        <v>132.25</v>
      </c>
      <c r="AE31">
        <f>IF($B31="","",IF(COUNTIF($B$5:$B31,$B31)=1,1,0))</f>
        <v>1</v>
      </c>
      <c r="AF31">
        <f>IF(AE31=1,SUM($AE$5:AE31),"")</f>
        <v>27</v>
      </c>
    </row>
    <row r="32" spans="1:32" ht="15" customHeight="1" x14ac:dyDescent="0.35">
      <c r="A32" s="25" t="s">
        <v>4</v>
      </c>
      <c r="B32" s="25" t="s">
        <v>111</v>
      </c>
      <c r="C32" s="26">
        <v>0</v>
      </c>
      <c r="D32" s="26">
        <v>0</v>
      </c>
      <c r="E32" s="26">
        <v>0</v>
      </c>
      <c r="F32" s="26">
        <v>39</v>
      </c>
      <c r="G32" s="26">
        <v>0</v>
      </c>
      <c r="H32" s="26">
        <v>0</v>
      </c>
      <c r="I32" s="26">
        <v>0</v>
      </c>
      <c r="J32" s="26">
        <v>0</v>
      </c>
      <c r="K32" s="26">
        <v>101</v>
      </c>
      <c r="L32" s="26">
        <v>0</v>
      </c>
      <c r="M32" s="26">
        <v>0</v>
      </c>
      <c r="N32" s="26">
        <v>0</v>
      </c>
      <c r="O32" s="26">
        <v>0</v>
      </c>
      <c r="P32" s="26">
        <v>0</v>
      </c>
      <c r="Q32" s="26">
        <v>0</v>
      </c>
      <c r="R32" s="26">
        <v>0</v>
      </c>
      <c r="S32" s="26">
        <v>0</v>
      </c>
      <c r="T32" s="26">
        <v>0</v>
      </c>
      <c r="U32" s="26">
        <v>0</v>
      </c>
      <c r="V32" s="26">
        <v>0</v>
      </c>
      <c r="W32" s="26">
        <v>0</v>
      </c>
      <c r="X32" s="26">
        <v>0</v>
      </c>
      <c r="Y32" s="26">
        <v>0</v>
      </c>
      <c r="Z32" s="26">
        <v>1</v>
      </c>
      <c r="AA32" s="27">
        <f t="shared" si="0"/>
        <v>140</v>
      </c>
      <c r="AB32" s="21">
        <f>IF($A32="","",IF(OR(Dashboard!$D$4="All",Dashboard!$D$4=$A32),IF(Dashboard!$G$4="All",SUM($C32:$V32),INDEX($C32:$V32,MATCH(Dashboard!$G$4,$C$4:$V$4,0))),0))</f>
        <v>0</v>
      </c>
      <c r="AC32" t="str">
        <f t="shared" si="1"/>
        <v/>
      </c>
      <c r="AD32">
        <f t="shared" si="2"/>
        <v>140</v>
      </c>
      <c r="AE32">
        <f>IF($B32="","",IF(COUNTIF($B$5:$B32,$B32)=1,1,0))</f>
        <v>1</v>
      </c>
      <c r="AF32">
        <f>IF(AE32=1,SUM($AE$5:AE32),"")</f>
        <v>28</v>
      </c>
    </row>
    <row r="33" spans="1:32" ht="15" customHeight="1" x14ac:dyDescent="0.35">
      <c r="A33" s="25" t="s">
        <v>4</v>
      </c>
      <c r="B33" s="25" t="s">
        <v>112</v>
      </c>
      <c r="C33" s="26">
        <v>0</v>
      </c>
      <c r="D33" s="26">
        <v>0</v>
      </c>
      <c r="E33" s="26">
        <v>0</v>
      </c>
      <c r="F33" s="26">
        <v>50</v>
      </c>
      <c r="G33" s="26">
        <v>0</v>
      </c>
      <c r="H33" s="26">
        <v>0</v>
      </c>
      <c r="I33" s="26">
        <v>0</v>
      </c>
      <c r="J33" s="26">
        <v>0</v>
      </c>
      <c r="K33" s="26">
        <v>0</v>
      </c>
      <c r="L33" s="26">
        <v>0</v>
      </c>
      <c r="M33" s="26">
        <v>0</v>
      </c>
      <c r="N33" s="26">
        <v>0</v>
      </c>
      <c r="O33" s="26">
        <v>0</v>
      </c>
      <c r="P33" s="26">
        <v>0</v>
      </c>
      <c r="Q33" s="26">
        <v>0</v>
      </c>
      <c r="R33" s="26">
        <v>0</v>
      </c>
      <c r="S33" s="26">
        <v>0</v>
      </c>
      <c r="T33" s="26">
        <v>0</v>
      </c>
      <c r="U33" s="26">
        <v>0</v>
      </c>
      <c r="V33" s="26">
        <v>0</v>
      </c>
      <c r="W33" s="26">
        <v>78.5</v>
      </c>
      <c r="X33" s="26">
        <v>0</v>
      </c>
      <c r="Y33" s="26">
        <v>1.5</v>
      </c>
      <c r="Z33" s="26">
        <v>2</v>
      </c>
      <c r="AA33" s="27">
        <f t="shared" si="0"/>
        <v>128.5</v>
      </c>
      <c r="AB33" s="21">
        <f>IF($A33="","",IF(OR(Dashboard!$D$4="All",Dashboard!$D$4=$A33),IF(Dashboard!$G$4="All",SUM($C33:$V33),INDEX($C33:$V33,MATCH(Dashboard!$G$4,$C$4:$V$4,0))),0))</f>
        <v>0</v>
      </c>
      <c r="AC33" t="str">
        <f t="shared" si="1"/>
        <v/>
      </c>
      <c r="AD33">
        <f t="shared" si="2"/>
        <v>50</v>
      </c>
      <c r="AE33">
        <f>IF($B33="","",IF(COUNTIF($B$5:$B33,$B33)=1,1,0))</f>
        <v>1</v>
      </c>
      <c r="AF33">
        <f>IF(AE33=1,SUM($AE$5:AE33),"")</f>
        <v>29</v>
      </c>
    </row>
    <row r="34" spans="1:32" ht="15" customHeight="1" x14ac:dyDescent="0.35">
      <c r="A34" s="25" t="s">
        <v>4</v>
      </c>
      <c r="B34" s="25" t="s">
        <v>113</v>
      </c>
      <c r="C34" s="26">
        <v>144.5</v>
      </c>
      <c r="D34" s="26">
        <v>0</v>
      </c>
      <c r="E34" s="26">
        <v>0</v>
      </c>
      <c r="F34" s="26">
        <v>0</v>
      </c>
      <c r="G34" s="26">
        <v>0</v>
      </c>
      <c r="H34" s="26">
        <v>0</v>
      </c>
      <c r="I34" s="26">
        <v>0</v>
      </c>
      <c r="J34" s="26">
        <v>0</v>
      </c>
      <c r="K34" s="26">
        <v>0</v>
      </c>
      <c r="L34" s="26">
        <v>0</v>
      </c>
      <c r="M34" s="26">
        <v>0</v>
      </c>
      <c r="N34" s="26">
        <v>0</v>
      </c>
      <c r="O34" s="26">
        <v>0</v>
      </c>
      <c r="P34" s="26">
        <v>0</v>
      </c>
      <c r="Q34" s="26">
        <v>0</v>
      </c>
      <c r="R34" s="26">
        <v>0</v>
      </c>
      <c r="S34" s="26">
        <v>0</v>
      </c>
      <c r="T34" s="26">
        <v>0</v>
      </c>
      <c r="U34" s="26">
        <v>0</v>
      </c>
      <c r="V34" s="26">
        <v>0</v>
      </c>
      <c r="W34" s="26">
        <v>0</v>
      </c>
      <c r="X34" s="26">
        <v>0</v>
      </c>
      <c r="Y34" s="26">
        <v>0</v>
      </c>
      <c r="Z34" s="26">
        <v>1</v>
      </c>
      <c r="AA34" s="27">
        <f t="shared" si="0"/>
        <v>144.5</v>
      </c>
      <c r="AB34" s="21">
        <f>IF($A34="","",IF(OR(Dashboard!$D$4="All",Dashboard!$D$4=$A34),IF(Dashboard!$G$4="All",SUM($C34:$V34),INDEX($C34:$V34,MATCH(Dashboard!$G$4,$C$4:$V$4,0))),0))</f>
        <v>0</v>
      </c>
      <c r="AC34" t="str">
        <f t="shared" si="1"/>
        <v/>
      </c>
      <c r="AD34">
        <f t="shared" si="2"/>
        <v>144.5</v>
      </c>
      <c r="AE34">
        <f>IF($B34="","",IF(COUNTIF($B$5:$B34,$B34)=1,1,0))</f>
        <v>1</v>
      </c>
      <c r="AF34">
        <f>IF(AE34=1,SUM($AE$5:AE34),"")</f>
        <v>30</v>
      </c>
    </row>
    <row r="35" spans="1:32" ht="15" customHeight="1" x14ac:dyDescent="0.35">
      <c r="A35" s="28"/>
      <c r="B35" s="28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 t="str">
        <f t="shared" si="0"/>
        <v/>
      </c>
      <c r="AB35" t="str">
        <f>IF($A35="","",IF(OR(Dashboard!$D$4="All",Dashboard!$D$4=$A35),IF(Dashboard!$G$4="All",SUM($C35:$V35),INDEX($C35:$V35,MATCH(Dashboard!$G$4,$C$4:$V$4,0))),0))</f>
        <v/>
      </c>
      <c r="AC35" t="str">
        <f t="shared" si="1"/>
        <v/>
      </c>
      <c r="AD35">
        <f t="shared" si="2"/>
        <v>0</v>
      </c>
      <c r="AE35" t="str">
        <f>IF($B35="","",IF(COUNTIF($B$5:$B35,$B35)=1,1,0))</f>
        <v/>
      </c>
      <c r="AF35" t="str">
        <f>IF(AE35=1,SUM($AE$5:AE35),"")</f>
        <v/>
      </c>
    </row>
    <row r="36" spans="1:32" ht="15" customHeight="1" x14ac:dyDescent="0.35">
      <c r="AA36" t="str">
        <f t="shared" si="0"/>
        <v/>
      </c>
      <c r="AB36" t="str">
        <f>IF($A36="","",IF(OR(Dashboard!$D$4="All",Dashboard!$D$4=$A36),IF(Dashboard!$G$4="All",SUM($C36:$V36),INDEX($C36:$V36,MATCH(Dashboard!$G$4,$C$4:$V$4,0))),0))</f>
        <v/>
      </c>
      <c r="AC36" t="str">
        <f t="shared" si="1"/>
        <v/>
      </c>
      <c r="AD36">
        <f t="shared" si="2"/>
        <v>0</v>
      </c>
      <c r="AE36" t="str">
        <f>IF($B36="","",IF(COUNTIF($B$5:$B36,$B36)=1,1,0))</f>
        <v/>
      </c>
      <c r="AF36" t="str">
        <f>IF(AE36=1,SUM($AE$5:AE36),"")</f>
        <v/>
      </c>
    </row>
    <row r="37" spans="1:32" ht="15" customHeight="1" x14ac:dyDescent="0.35">
      <c r="AA37" t="str">
        <f t="shared" si="0"/>
        <v/>
      </c>
      <c r="AB37" t="str">
        <f>IF($A37="","",IF(OR(Dashboard!$D$4="All",Dashboard!$D$4=$A37),IF(Dashboard!$G$4="All",SUM($C37:$V37),INDEX($C37:$V37,MATCH(Dashboard!$G$4,$C$4:$V$4,0))),0))</f>
        <v/>
      </c>
      <c r="AC37" t="str">
        <f t="shared" si="1"/>
        <v/>
      </c>
      <c r="AD37">
        <f t="shared" si="2"/>
        <v>0</v>
      </c>
      <c r="AE37" t="str">
        <f>IF($B37="","",IF(COUNTIF($B$5:$B37,$B37)=1,1,0))</f>
        <v/>
      </c>
      <c r="AF37" t="str">
        <f>IF(AE37=1,SUM($AE$5:AE37),"")</f>
        <v/>
      </c>
    </row>
    <row r="38" spans="1:32" ht="15" customHeight="1" x14ac:dyDescent="0.35">
      <c r="AA38" t="str">
        <f t="shared" si="0"/>
        <v/>
      </c>
      <c r="AB38" t="str">
        <f>IF($A38="","",IF(OR(Dashboard!$D$4="All",Dashboard!$D$4=$A38),IF(Dashboard!$G$4="All",SUM($C38:$V38),INDEX($C38:$V38,MATCH(Dashboard!$G$4,$C$4:$V$4,0))),0))</f>
        <v/>
      </c>
      <c r="AC38" t="str">
        <f t="shared" si="1"/>
        <v/>
      </c>
      <c r="AD38">
        <f t="shared" si="2"/>
        <v>0</v>
      </c>
      <c r="AE38" t="str">
        <f>IF($B38="","",IF(COUNTIF($B$5:$B38,$B38)=1,1,0))</f>
        <v/>
      </c>
      <c r="AF38" t="str">
        <f>IF(AE38=1,SUM($AE$5:AE38),"")</f>
        <v/>
      </c>
    </row>
    <row r="39" spans="1:32" ht="15" customHeight="1" x14ac:dyDescent="0.35">
      <c r="AA39" t="str">
        <f t="shared" si="0"/>
        <v/>
      </c>
      <c r="AB39" t="str">
        <f>IF($A39="","",IF(OR(Dashboard!$D$4="All",Dashboard!$D$4=$A39),IF(Dashboard!$G$4="All",SUM($C39:$V39),INDEX($C39:$V39,MATCH(Dashboard!$G$4,$C$4:$V$4,0))),0))</f>
        <v/>
      </c>
      <c r="AC39" t="str">
        <f t="shared" si="1"/>
        <v/>
      </c>
      <c r="AD39">
        <f t="shared" si="2"/>
        <v>0</v>
      </c>
      <c r="AE39" t="str">
        <f>IF($B39="","",IF(COUNTIF($B$5:$B39,$B39)=1,1,0))</f>
        <v/>
      </c>
      <c r="AF39" t="str">
        <f>IF(AE39=1,SUM($AE$5:AE39),"")</f>
        <v/>
      </c>
    </row>
    <row r="40" spans="1:32" ht="15" customHeight="1" x14ac:dyDescent="0.35">
      <c r="AA40" t="str">
        <f t="shared" si="0"/>
        <v/>
      </c>
      <c r="AB40" t="str">
        <f>IF($A40="","",IF(OR(Dashboard!$D$4="All",Dashboard!$D$4=$A40),IF(Dashboard!$G$4="All",SUM($C40:$V40),INDEX($C40:$V40,MATCH(Dashboard!$G$4,$C$4:$V$4,0))),0))</f>
        <v/>
      </c>
      <c r="AC40" t="str">
        <f t="shared" si="1"/>
        <v/>
      </c>
      <c r="AD40">
        <f t="shared" si="2"/>
        <v>0</v>
      </c>
      <c r="AE40" t="str">
        <f>IF($B40="","",IF(COUNTIF($B$5:$B40,$B40)=1,1,0))</f>
        <v/>
      </c>
      <c r="AF40" t="str">
        <f>IF(AE40=1,SUM($AE$5:AE40),"")</f>
        <v/>
      </c>
    </row>
    <row r="41" spans="1:32" ht="15" customHeight="1" x14ac:dyDescent="0.35">
      <c r="AA41" t="str">
        <f t="shared" si="0"/>
        <v/>
      </c>
      <c r="AB41" t="str">
        <f>IF($A41="","",IF(OR(Dashboard!$D$4="All",Dashboard!$D$4=$A41),IF(Dashboard!$G$4="All",SUM($C41:$V41),INDEX($C41:$V41,MATCH(Dashboard!$G$4,$C$4:$V$4,0))),0))</f>
        <v/>
      </c>
      <c r="AC41" t="str">
        <f t="shared" si="1"/>
        <v/>
      </c>
      <c r="AD41">
        <f t="shared" si="2"/>
        <v>0</v>
      </c>
      <c r="AE41" t="str">
        <f>IF($B41="","",IF(COUNTIF($B$5:$B41,$B41)=1,1,0))</f>
        <v/>
      </c>
      <c r="AF41" t="str">
        <f>IF(AE41=1,SUM($AE$5:AE41),"")</f>
        <v/>
      </c>
    </row>
    <row r="42" spans="1:32" ht="15" customHeight="1" x14ac:dyDescent="0.35">
      <c r="AA42" t="str">
        <f t="shared" si="0"/>
        <v/>
      </c>
      <c r="AB42" t="str">
        <f>IF($A42="","",IF(OR(Dashboard!$D$4="All",Dashboard!$D$4=$A42),IF(Dashboard!$G$4="All",SUM($C42:$V42),INDEX($C42:$V42,MATCH(Dashboard!$G$4,$C$4:$V$4,0))),0))</f>
        <v/>
      </c>
      <c r="AC42" t="str">
        <f t="shared" si="1"/>
        <v/>
      </c>
      <c r="AD42">
        <f t="shared" si="2"/>
        <v>0</v>
      </c>
      <c r="AE42" t="str">
        <f>IF($B42="","",IF(COUNTIF($B$5:$B42,$B42)=1,1,0))</f>
        <v/>
      </c>
      <c r="AF42" t="str">
        <f>IF(AE42=1,SUM($AE$5:AE42),"")</f>
        <v/>
      </c>
    </row>
    <row r="43" spans="1:32" ht="15" customHeight="1" x14ac:dyDescent="0.35">
      <c r="AA43" t="str">
        <f t="shared" si="0"/>
        <v/>
      </c>
      <c r="AB43" t="str">
        <f>IF($A43="","",IF(OR(Dashboard!$D$4="All",Dashboard!$D$4=$A43),IF(Dashboard!$G$4="All",SUM($C43:$V43),INDEX($C43:$V43,MATCH(Dashboard!$G$4,$C$4:$V$4,0))),0))</f>
        <v/>
      </c>
      <c r="AC43" t="str">
        <f t="shared" si="1"/>
        <v/>
      </c>
      <c r="AD43">
        <f t="shared" si="2"/>
        <v>0</v>
      </c>
      <c r="AE43" t="str">
        <f>IF($B43="","",IF(COUNTIF($B$5:$B43,$B43)=1,1,0))</f>
        <v/>
      </c>
      <c r="AF43" t="str">
        <f>IF(AE43=1,SUM($AE$5:AE43),"")</f>
        <v/>
      </c>
    </row>
    <row r="44" spans="1:32" ht="15" customHeight="1" x14ac:dyDescent="0.35">
      <c r="AA44" t="str">
        <f t="shared" si="0"/>
        <v/>
      </c>
      <c r="AB44" t="str">
        <f>IF($A44="","",IF(OR(Dashboard!$D$4="All",Dashboard!$D$4=$A44),IF(Dashboard!$G$4="All",SUM($C44:$V44),INDEX($C44:$V44,MATCH(Dashboard!$G$4,$C$4:$V$4,0))),0))</f>
        <v/>
      </c>
      <c r="AC44" t="str">
        <f t="shared" si="1"/>
        <v/>
      </c>
      <c r="AD44">
        <f t="shared" si="2"/>
        <v>0</v>
      </c>
      <c r="AE44" t="str">
        <f>IF($B44="","",IF(COUNTIF($B$5:$B44,$B44)=1,1,0))</f>
        <v/>
      </c>
      <c r="AF44" t="str">
        <f>IF(AE44=1,SUM($AE$5:AE44),"")</f>
        <v/>
      </c>
    </row>
    <row r="45" spans="1:32" ht="15" customHeight="1" x14ac:dyDescent="0.35">
      <c r="AA45" t="str">
        <f t="shared" si="0"/>
        <v/>
      </c>
      <c r="AB45" t="str">
        <f>IF($A45="","",IF(OR(Dashboard!$D$4="All",Dashboard!$D$4=$A45),IF(Dashboard!$G$4="All",SUM($C45:$V45),INDEX($C45:$V45,MATCH(Dashboard!$G$4,$C$4:$V$4,0))),0))</f>
        <v/>
      </c>
      <c r="AC45" t="str">
        <f t="shared" si="1"/>
        <v/>
      </c>
      <c r="AD45">
        <f t="shared" si="2"/>
        <v>0</v>
      </c>
      <c r="AE45" t="str">
        <f>IF($B45="","",IF(COUNTIF($B$5:$B45,$B45)=1,1,0))</f>
        <v/>
      </c>
      <c r="AF45" t="str">
        <f>IF(AE45=1,SUM($AE$5:AE45),"")</f>
        <v/>
      </c>
    </row>
    <row r="46" spans="1:32" ht="15" customHeight="1" x14ac:dyDescent="0.35">
      <c r="AA46" t="str">
        <f t="shared" si="0"/>
        <v/>
      </c>
      <c r="AB46" t="str">
        <f>IF($A46="","",IF(OR(Dashboard!$D$4="All",Dashboard!$D$4=$A46),IF(Dashboard!$G$4="All",SUM($C46:$V46),INDEX($C46:$V46,MATCH(Dashboard!$G$4,$C$4:$V$4,0))),0))</f>
        <v/>
      </c>
      <c r="AC46" t="str">
        <f t="shared" si="1"/>
        <v/>
      </c>
      <c r="AD46">
        <f t="shared" si="2"/>
        <v>0</v>
      </c>
      <c r="AE46" t="str">
        <f>IF($B46="","",IF(COUNTIF($B$5:$B46,$B46)=1,1,0))</f>
        <v/>
      </c>
      <c r="AF46" t="str">
        <f>IF(AE46=1,SUM($AE$5:AE46),"")</f>
        <v/>
      </c>
    </row>
    <row r="47" spans="1:32" ht="15" customHeight="1" x14ac:dyDescent="0.35">
      <c r="AA47" t="str">
        <f t="shared" si="0"/>
        <v/>
      </c>
      <c r="AB47" t="str">
        <f>IF($A47="","",IF(OR(Dashboard!$D$4="All",Dashboard!$D$4=$A47),IF(Dashboard!$G$4="All",SUM($C47:$V47),INDEX($C47:$V47,MATCH(Dashboard!$G$4,$C$4:$V$4,0))),0))</f>
        <v/>
      </c>
      <c r="AC47" t="str">
        <f t="shared" si="1"/>
        <v/>
      </c>
      <c r="AD47">
        <f t="shared" si="2"/>
        <v>0</v>
      </c>
      <c r="AE47" t="str">
        <f>IF($B47="","",IF(COUNTIF($B$5:$B47,$B47)=1,1,0))</f>
        <v/>
      </c>
      <c r="AF47" t="str">
        <f>IF(AE47=1,SUM($AE$5:AE47),"")</f>
        <v/>
      </c>
    </row>
    <row r="48" spans="1:32" ht="15" customHeight="1" x14ac:dyDescent="0.35">
      <c r="AA48" t="str">
        <f t="shared" si="0"/>
        <v/>
      </c>
      <c r="AB48" t="str">
        <f>IF($A48="","",IF(OR(Dashboard!$D$4="All",Dashboard!$D$4=$A48),IF(Dashboard!$G$4="All",SUM($C48:$V48),INDEX($C48:$V48,MATCH(Dashboard!$G$4,$C$4:$V$4,0))),0))</f>
        <v/>
      </c>
      <c r="AC48" t="str">
        <f t="shared" si="1"/>
        <v/>
      </c>
      <c r="AD48">
        <f t="shared" si="2"/>
        <v>0</v>
      </c>
      <c r="AE48" t="str">
        <f>IF($B48="","",IF(COUNTIF($B$5:$B48,$B48)=1,1,0))</f>
        <v/>
      </c>
      <c r="AF48" t="str">
        <f>IF(AE48=1,SUM($AE$5:AE48),"")</f>
        <v/>
      </c>
    </row>
    <row r="49" spans="27:32" ht="15" customHeight="1" x14ac:dyDescent="0.35">
      <c r="AA49" t="str">
        <f t="shared" si="0"/>
        <v/>
      </c>
      <c r="AB49" t="str">
        <f>IF($A49="","",IF(OR(Dashboard!$D$4="All",Dashboard!$D$4=$A49),IF(Dashboard!$G$4="All",SUM($C49:$V49),INDEX($C49:$V49,MATCH(Dashboard!$G$4,$C$4:$V$4,0))),0))</f>
        <v/>
      </c>
      <c r="AC49" t="str">
        <f t="shared" si="1"/>
        <v/>
      </c>
      <c r="AD49">
        <f t="shared" si="2"/>
        <v>0</v>
      </c>
      <c r="AE49" t="str">
        <f>IF($B49="","",IF(COUNTIF($B$5:$B49,$B49)=1,1,0))</f>
        <v/>
      </c>
      <c r="AF49" t="str">
        <f>IF(AE49=1,SUM($AE$5:AE49),"")</f>
        <v/>
      </c>
    </row>
    <row r="50" spans="27:32" ht="15" customHeight="1" x14ac:dyDescent="0.35">
      <c r="AA50" t="str">
        <f t="shared" si="0"/>
        <v/>
      </c>
      <c r="AB50" t="str">
        <f>IF($A50="","",IF(OR(Dashboard!$D$4="All",Dashboard!$D$4=$A50),IF(Dashboard!$G$4="All",SUM($C50:$V50),INDEX($C50:$V50,MATCH(Dashboard!$G$4,$C$4:$V$4,0))),0))</f>
        <v/>
      </c>
      <c r="AC50" t="str">
        <f t="shared" si="1"/>
        <v/>
      </c>
      <c r="AD50">
        <f t="shared" si="2"/>
        <v>0</v>
      </c>
      <c r="AE50" t="str">
        <f>IF($B50="","",IF(COUNTIF($B$5:$B50,$B50)=1,1,0))</f>
        <v/>
      </c>
      <c r="AF50" t="str">
        <f>IF(AE50=1,SUM($AE$5:AE50),"")</f>
        <v/>
      </c>
    </row>
    <row r="51" spans="27:32" ht="15" customHeight="1" x14ac:dyDescent="0.35">
      <c r="AA51" t="str">
        <f t="shared" si="0"/>
        <v/>
      </c>
      <c r="AB51" t="str">
        <f>IF($A51="","",IF(OR(Dashboard!$D$4="All",Dashboard!$D$4=$A51),IF(Dashboard!$G$4="All",SUM($C51:$V51),INDEX($C51:$V51,MATCH(Dashboard!$G$4,$C$4:$V$4,0))),0))</f>
        <v/>
      </c>
      <c r="AC51" t="str">
        <f t="shared" si="1"/>
        <v/>
      </c>
      <c r="AD51">
        <f t="shared" si="2"/>
        <v>0</v>
      </c>
      <c r="AE51" t="str">
        <f>IF($B51="","",IF(COUNTIF($B$5:$B51,$B51)=1,1,0))</f>
        <v/>
      </c>
      <c r="AF51" t="str">
        <f>IF(AE51=1,SUM($AE$5:AE51),"")</f>
        <v/>
      </c>
    </row>
    <row r="52" spans="27:32" ht="15" customHeight="1" x14ac:dyDescent="0.35">
      <c r="AA52" t="str">
        <f t="shared" si="0"/>
        <v/>
      </c>
      <c r="AB52" t="str">
        <f>IF($A52="","",IF(OR(Dashboard!$D$4="All",Dashboard!$D$4=$A52),IF(Dashboard!$G$4="All",SUM($C52:$V52),INDEX($C52:$V52,MATCH(Dashboard!$G$4,$C$4:$V$4,0))),0))</f>
        <v/>
      </c>
      <c r="AC52" t="str">
        <f t="shared" si="1"/>
        <v/>
      </c>
      <c r="AD52">
        <f t="shared" si="2"/>
        <v>0</v>
      </c>
      <c r="AE52" t="str">
        <f>IF($B52="","",IF(COUNTIF($B$5:$B52,$B52)=1,1,0))</f>
        <v/>
      </c>
      <c r="AF52" t="str">
        <f>IF(AE52=1,SUM($AE$5:AE52),"")</f>
        <v/>
      </c>
    </row>
    <row r="53" spans="27:32" ht="15" customHeight="1" x14ac:dyDescent="0.35">
      <c r="AA53" t="str">
        <f t="shared" si="0"/>
        <v/>
      </c>
      <c r="AB53" t="str">
        <f>IF($A53="","",IF(OR(Dashboard!$D$4="All",Dashboard!$D$4=$A53),IF(Dashboard!$G$4="All",SUM($C53:$V53),INDEX($C53:$V53,MATCH(Dashboard!$G$4,$C$4:$V$4,0))),0))</f>
        <v/>
      </c>
      <c r="AC53" t="str">
        <f t="shared" si="1"/>
        <v/>
      </c>
      <c r="AD53">
        <f t="shared" si="2"/>
        <v>0</v>
      </c>
      <c r="AE53" t="str">
        <f>IF($B53="","",IF(COUNTIF($B$5:$B53,$B53)=1,1,0))</f>
        <v/>
      </c>
      <c r="AF53" t="str">
        <f>IF(AE53=1,SUM($AE$5:AE53),"")</f>
        <v/>
      </c>
    </row>
    <row r="54" spans="27:32" ht="15" customHeight="1" x14ac:dyDescent="0.35">
      <c r="AA54" t="str">
        <f t="shared" si="0"/>
        <v/>
      </c>
      <c r="AB54" t="str">
        <f>IF($A54="","",IF(OR(Dashboard!$D$4="All",Dashboard!$D$4=$A54),IF(Dashboard!$G$4="All",SUM($C54:$V54),INDEX($C54:$V54,MATCH(Dashboard!$G$4,$C$4:$V$4,0))),0))</f>
        <v/>
      </c>
      <c r="AC54" t="str">
        <f t="shared" si="1"/>
        <v/>
      </c>
      <c r="AD54">
        <f t="shared" si="2"/>
        <v>0</v>
      </c>
      <c r="AE54" t="str">
        <f>IF($B54="","",IF(COUNTIF($B$5:$B54,$B54)=1,1,0))</f>
        <v/>
      </c>
      <c r="AF54" t="str">
        <f>IF(AE54=1,SUM($AE$5:AE54),"")</f>
        <v/>
      </c>
    </row>
    <row r="55" spans="27:32" ht="15" customHeight="1" x14ac:dyDescent="0.35">
      <c r="AA55" t="str">
        <f t="shared" si="0"/>
        <v/>
      </c>
      <c r="AB55" t="str">
        <f>IF($A55="","",IF(OR(Dashboard!$D$4="All",Dashboard!$D$4=$A55),IF(Dashboard!$G$4="All",SUM($C55:$V55),INDEX($C55:$V55,MATCH(Dashboard!$G$4,$C$4:$V$4,0))),0))</f>
        <v/>
      </c>
      <c r="AC55" t="str">
        <f t="shared" si="1"/>
        <v/>
      </c>
      <c r="AD55">
        <f t="shared" si="2"/>
        <v>0</v>
      </c>
      <c r="AE55" t="str">
        <f>IF($B55="","",IF(COUNTIF($B$5:$B55,$B55)=1,1,0))</f>
        <v/>
      </c>
      <c r="AF55" t="str">
        <f>IF(AE55=1,SUM($AE$5:AE55),"")</f>
        <v/>
      </c>
    </row>
    <row r="56" spans="27:32" ht="15" customHeight="1" x14ac:dyDescent="0.35">
      <c r="AA56" t="str">
        <f t="shared" si="0"/>
        <v/>
      </c>
      <c r="AB56" t="str">
        <f>IF($A56="","",IF(OR(Dashboard!$D$4="All",Dashboard!$D$4=$A56),IF(Dashboard!$G$4="All",SUM($C56:$V56),INDEX($C56:$V56,MATCH(Dashboard!$G$4,$C$4:$V$4,0))),0))</f>
        <v/>
      </c>
      <c r="AC56" t="str">
        <f t="shared" si="1"/>
        <v/>
      </c>
      <c r="AD56">
        <f t="shared" si="2"/>
        <v>0</v>
      </c>
      <c r="AE56" t="str">
        <f>IF($B56="","",IF(COUNTIF($B$5:$B56,$B56)=1,1,0))</f>
        <v/>
      </c>
      <c r="AF56" t="str">
        <f>IF(AE56=1,SUM($AE$5:AE56),"")</f>
        <v/>
      </c>
    </row>
    <row r="57" spans="27:32" ht="15" customHeight="1" x14ac:dyDescent="0.35">
      <c r="AA57" t="str">
        <f t="shared" si="0"/>
        <v/>
      </c>
      <c r="AB57" t="str">
        <f>IF($A57="","",IF(OR(Dashboard!$D$4="All",Dashboard!$D$4=$A57),IF(Dashboard!$G$4="All",SUM($C57:$V57),INDEX($C57:$V57,MATCH(Dashboard!$G$4,$C$4:$V$4,0))),0))</f>
        <v/>
      </c>
      <c r="AC57" t="str">
        <f t="shared" si="1"/>
        <v/>
      </c>
      <c r="AD57">
        <f t="shared" si="2"/>
        <v>0</v>
      </c>
      <c r="AE57" t="str">
        <f>IF($B57="","",IF(COUNTIF($B$5:$B57,$B57)=1,1,0))</f>
        <v/>
      </c>
      <c r="AF57" t="str">
        <f>IF(AE57=1,SUM($AE$5:AE57),"")</f>
        <v/>
      </c>
    </row>
    <row r="58" spans="27:32" ht="15" customHeight="1" x14ac:dyDescent="0.35">
      <c r="AA58" t="str">
        <f t="shared" si="0"/>
        <v/>
      </c>
      <c r="AB58" t="str">
        <f>IF($A58="","",IF(OR(Dashboard!$D$4="All",Dashboard!$D$4=$A58),IF(Dashboard!$G$4="All",SUM($C58:$V58),INDEX($C58:$V58,MATCH(Dashboard!$G$4,$C$4:$V$4,0))),0))</f>
        <v/>
      </c>
      <c r="AC58" t="str">
        <f t="shared" si="1"/>
        <v/>
      </c>
      <c r="AD58">
        <f t="shared" si="2"/>
        <v>0</v>
      </c>
      <c r="AE58" t="str">
        <f>IF($B58="","",IF(COUNTIF($B$5:$B58,$B58)=1,1,0))</f>
        <v/>
      </c>
      <c r="AF58" t="str">
        <f>IF(AE58=1,SUM($AE$5:AE58),"")</f>
        <v/>
      </c>
    </row>
    <row r="59" spans="27:32" ht="15" customHeight="1" x14ac:dyDescent="0.35">
      <c r="AA59" t="str">
        <f t="shared" si="0"/>
        <v/>
      </c>
      <c r="AB59" t="str">
        <f>IF($A59="","",IF(OR(Dashboard!$D$4="All",Dashboard!$D$4=$A59),IF(Dashboard!$G$4="All",SUM($C59:$V59),INDEX($C59:$V59,MATCH(Dashboard!$G$4,$C$4:$V$4,0))),0))</f>
        <v/>
      </c>
      <c r="AC59" t="str">
        <f t="shared" si="1"/>
        <v/>
      </c>
      <c r="AD59">
        <f t="shared" si="2"/>
        <v>0</v>
      </c>
      <c r="AE59" t="str">
        <f>IF($B59="","",IF(COUNTIF($B$5:$B59,$B59)=1,1,0))</f>
        <v/>
      </c>
      <c r="AF59" t="str">
        <f>IF(AE59=1,SUM($AE$5:AE59),"")</f>
        <v/>
      </c>
    </row>
    <row r="60" spans="27:32" ht="15" customHeight="1" x14ac:dyDescent="0.35">
      <c r="AA60" t="str">
        <f t="shared" si="0"/>
        <v/>
      </c>
      <c r="AB60" t="str">
        <f>IF($A60="","",IF(OR(Dashboard!$D$4="All",Dashboard!$D$4=$A60),IF(Dashboard!$G$4="All",SUM($C60:$V60),INDEX($C60:$V60,MATCH(Dashboard!$G$4,$C$4:$V$4,0))),0))</f>
        <v/>
      </c>
      <c r="AC60" t="str">
        <f t="shared" si="1"/>
        <v/>
      </c>
      <c r="AD60">
        <f t="shared" si="2"/>
        <v>0</v>
      </c>
      <c r="AE60" t="str">
        <f>IF($B60="","",IF(COUNTIF($B$5:$B60,$B60)=1,1,0))</f>
        <v/>
      </c>
      <c r="AF60" t="str">
        <f>IF(AE60=1,SUM($AE$5:AE60),"")</f>
        <v/>
      </c>
    </row>
    <row r="61" spans="27:32" ht="15" customHeight="1" x14ac:dyDescent="0.35">
      <c r="AA61" t="str">
        <f t="shared" si="0"/>
        <v/>
      </c>
      <c r="AB61" t="str">
        <f>IF($A61="","",IF(OR(Dashboard!$D$4="All",Dashboard!$D$4=$A61),IF(Dashboard!$G$4="All",SUM($C61:$V61),INDEX($C61:$V61,MATCH(Dashboard!$G$4,$C$4:$V$4,0))),0))</f>
        <v/>
      </c>
      <c r="AC61" t="str">
        <f t="shared" si="1"/>
        <v/>
      </c>
      <c r="AD61">
        <f t="shared" si="2"/>
        <v>0</v>
      </c>
      <c r="AE61" t="str">
        <f>IF($B61="","",IF(COUNTIF($B$5:$B61,$B61)=1,1,0))</f>
        <v/>
      </c>
      <c r="AF61" t="str">
        <f>IF(AE61=1,SUM($AE$5:AE61),"")</f>
        <v/>
      </c>
    </row>
    <row r="62" spans="27:32" ht="15" customHeight="1" x14ac:dyDescent="0.35">
      <c r="AA62" t="str">
        <f t="shared" si="0"/>
        <v/>
      </c>
      <c r="AB62" t="str">
        <f>IF($A62="","",IF(OR(Dashboard!$D$4="All",Dashboard!$D$4=$A62),IF(Dashboard!$G$4="All",SUM($C62:$V62),INDEX($C62:$V62,MATCH(Dashboard!$G$4,$C$4:$V$4,0))),0))</f>
        <v/>
      </c>
      <c r="AC62" t="str">
        <f t="shared" si="1"/>
        <v/>
      </c>
      <c r="AD62">
        <f t="shared" si="2"/>
        <v>0</v>
      </c>
      <c r="AE62" t="str">
        <f>IF($B62="","",IF(COUNTIF($B$5:$B62,$B62)=1,1,0))</f>
        <v/>
      </c>
      <c r="AF62" t="str">
        <f>IF(AE62=1,SUM($AE$5:AE62),"")</f>
        <v/>
      </c>
    </row>
    <row r="63" spans="27:32" ht="15" customHeight="1" x14ac:dyDescent="0.35">
      <c r="AA63" t="str">
        <f t="shared" si="0"/>
        <v/>
      </c>
      <c r="AB63" t="str">
        <f>IF($A63="","",IF(OR(Dashboard!$D$4="All",Dashboard!$D$4=$A63),IF(Dashboard!$G$4="All",SUM($C63:$V63),INDEX($C63:$V63,MATCH(Dashboard!$G$4,$C$4:$V$4,0))),0))</f>
        <v/>
      </c>
      <c r="AC63" t="str">
        <f t="shared" si="1"/>
        <v/>
      </c>
      <c r="AD63">
        <f t="shared" si="2"/>
        <v>0</v>
      </c>
      <c r="AE63" t="str">
        <f>IF($B63="","",IF(COUNTIF($B$5:$B63,$B63)=1,1,0))</f>
        <v/>
      </c>
      <c r="AF63" t="str">
        <f>IF(AE63=1,SUM($AE$5:AE63),"")</f>
        <v/>
      </c>
    </row>
    <row r="64" spans="27:32" ht="15" customHeight="1" x14ac:dyDescent="0.35">
      <c r="AA64" t="str">
        <f t="shared" si="0"/>
        <v/>
      </c>
      <c r="AB64" t="str">
        <f>IF($A64="","",IF(OR(Dashboard!$D$4="All",Dashboard!$D$4=$A64),IF(Dashboard!$G$4="All",SUM($C64:$V64),INDEX($C64:$V64,MATCH(Dashboard!$G$4,$C$4:$V$4,0))),0))</f>
        <v/>
      </c>
      <c r="AC64" t="str">
        <f t="shared" si="1"/>
        <v/>
      </c>
      <c r="AD64">
        <f t="shared" si="2"/>
        <v>0</v>
      </c>
      <c r="AE64" t="str">
        <f>IF($B64="","",IF(COUNTIF($B$5:$B64,$B64)=1,1,0))</f>
        <v/>
      </c>
      <c r="AF64" t="str">
        <f>IF(AE64=1,SUM($AE$5:AE64),"")</f>
        <v/>
      </c>
    </row>
    <row r="65" spans="27:32" ht="15" customHeight="1" x14ac:dyDescent="0.35">
      <c r="AA65" t="str">
        <f t="shared" si="0"/>
        <v/>
      </c>
      <c r="AB65" t="str">
        <f>IF($A65="","",IF(OR(Dashboard!$D$4="All",Dashboard!$D$4=$A65),IF(Dashboard!$G$4="All",SUM($C65:$V65),INDEX($C65:$V65,MATCH(Dashboard!$G$4,$C$4:$V$4,0))),0))</f>
        <v/>
      </c>
      <c r="AC65" t="str">
        <f t="shared" si="1"/>
        <v/>
      </c>
      <c r="AD65">
        <f t="shared" si="2"/>
        <v>0</v>
      </c>
      <c r="AE65" t="str">
        <f>IF($B65="","",IF(COUNTIF($B$5:$B65,$B65)=1,1,0))</f>
        <v/>
      </c>
      <c r="AF65" t="str">
        <f>IF(AE65=1,SUM($AE$5:AE65),"")</f>
        <v/>
      </c>
    </row>
    <row r="66" spans="27:32" ht="15" customHeight="1" x14ac:dyDescent="0.35">
      <c r="AA66" t="str">
        <f t="shared" si="0"/>
        <v/>
      </c>
      <c r="AB66" t="str">
        <f>IF($A66="","",IF(OR(Dashboard!$D$4="All",Dashboard!$D$4=$A66),IF(Dashboard!$G$4="All",SUM($C66:$V66),INDEX($C66:$V66,MATCH(Dashboard!$G$4,$C$4:$V$4,0))),0))</f>
        <v/>
      </c>
      <c r="AC66" t="str">
        <f t="shared" si="1"/>
        <v/>
      </c>
      <c r="AD66">
        <f t="shared" si="2"/>
        <v>0</v>
      </c>
      <c r="AE66" t="str">
        <f>IF($B66="","",IF(COUNTIF($B$5:$B66,$B66)=1,1,0))</f>
        <v/>
      </c>
      <c r="AF66" t="str">
        <f>IF(AE66=1,SUM($AE$5:AE66),"")</f>
        <v/>
      </c>
    </row>
    <row r="67" spans="27:32" ht="15" customHeight="1" x14ac:dyDescent="0.35">
      <c r="AA67" t="str">
        <f t="shared" si="0"/>
        <v/>
      </c>
      <c r="AB67" t="str">
        <f>IF($A67="","",IF(OR(Dashboard!$D$4="All",Dashboard!$D$4=$A67),IF(Dashboard!$G$4="All",SUM($C67:$V67),INDEX($C67:$V67,MATCH(Dashboard!$G$4,$C$4:$V$4,0))),0))</f>
        <v/>
      </c>
      <c r="AC67" t="str">
        <f t="shared" si="1"/>
        <v/>
      </c>
      <c r="AD67">
        <f t="shared" si="2"/>
        <v>0</v>
      </c>
      <c r="AE67" t="str">
        <f>IF($B67="","",IF(COUNTIF($B$5:$B67,$B67)=1,1,0))</f>
        <v/>
      </c>
      <c r="AF67" t="str">
        <f>IF(AE67=1,SUM($AE$5:AE67),"")</f>
        <v/>
      </c>
    </row>
    <row r="68" spans="27:32" ht="15" customHeight="1" x14ac:dyDescent="0.35">
      <c r="AA68" t="str">
        <f t="shared" si="0"/>
        <v/>
      </c>
      <c r="AB68" t="str">
        <f>IF($A68="","",IF(OR(Dashboard!$D$4="All",Dashboard!$D$4=$A68),IF(Dashboard!$G$4="All",SUM($C68:$V68),INDEX($C68:$V68,MATCH(Dashboard!$G$4,$C$4:$V$4,0))),0))</f>
        <v/>
      </c>
      <c r="AC68" t="str">
        <f t="shared" si="1"/>
        <v/>
      </c>
      <c r="AD68">
        <f t="shared" si="2"/>
        <v>0</v>
      </c>
      <c r="AE68" t="str">
        <f>IF($B68="","",IF(COUNTIF($B$5:$B68,$B68)=1,1,0))</f>
        <v/>
      </c>
      <c r="AF68" t="str">
        <f>IF(AE68=1,SUM($AE$5:AE68),"")</f>
        <v/>
      </c>
    </row>
    <row r="69" spans="27:32" ht="15" customHeight="1" x14ac:dyDescent="0.35">
      <c r="AA69" t="str">
        <f t="shared" ref="AA69:AA132" si="3">IF($A69="","",SUM($C69:$W69))</f>
        <v/>
      </c>
      <c r="AB69" t="str">
        <f>IF($A69="","",IF(OR(Dashboard!$D$4="All",Dashboard!$D$4=$A69),IF(Dashboard!$G$4="All",SUM($C69:$V69),INDEX($C69:$V69,MATCH(Dashboard!$G$4,$C$4:$V$4,0))),0))</f>
        <v/>
      </c>
      <c r="AC69" t="str">
        <f t="shared" ref="AC69:AC132" si="4">IF(AND($A69&lt;&gt;"",$AB69&gt;0),SUMPRODUCT(($AB$5:$AB$364&gt;0)*(ROW($AB$5:$AB$364)&lt;=ROW($AB69))),"")</f>
        <v/>
      </c>
      <c r="AD69">
        <f t="shared" ref="AD69:AD132" si="5">IF($A69="",0,SUM($C69:$V69))</f>
        <v>0</v>
      </c>
      <c r="AE69" t="str">
        <f>IF($B69="","",IF(COUNTIF($B$5:$B69,$B69)=1,1,0))</f>
        <v/>
      </c>
      <c r="AF69" t="str">
        <f>IF(AE69=1,SUM($AE$5:AE69),"")</f>
        <v/>
      </c>
    </row>
    <row r="70" spans="27:32" ht="15" customHeight="1" x14ac:dyDescent="0.35">
      <c r="AA70" t="str">
        <f t="shared" si="3"/>
        <v/>
      </c>
      <c r="AB70" t="str">
        <f>IF($A70="","",IF(OR(Dashboard!$D$4="All",Dashboard!$D$4=$A70),IF(Dashboard!$G$4="All",SUM($C70:$V70),INDEX($C70:$V70,MATCH(Dashboard!$G$4,$C$4:$V$4,0))),0))</f>
        <v/>
      </c>
      <c r="AC70" t="str">
        <f t="shared" si="4"/>
        <v/>
      </c>
      <c r="AD70">
        <f t="shared" si="5"/>
        <v>0</v>
      </c>
      <c r="AE70" t="str">
        <f>IF($B70="","",IF(COUNTIF($B$5:$B70,$B70)=1,1,0))</f>
        <v/>
      </c>
      <c r="AF70" t="str">
        <f>IF(AE70=1,SUM($AE$5:AE70),"")</f>
        <v/>
      </c>
    </row>
    <row r="71" spans="27:32" ht="15" customHeight="1" x14ac:dyDescent="0.35">
      <c r="AA71" t="str">
        <f t="shared" si="3"/>
        <v/>
      </c>
      <c r="AB71" t="str">
        <f>IF($A71="","",IF(OR(Dashboard!$D$4="All",Dashboard!$D$4=$A71),IF(Dashboard!$G$4="All",SUM($C71:$V71),INDEX($C71:$V71,MATCH(Dashboard!$G$4,$C$4:$V$4,0))),0))</f>
        <v/>
      </c>
      <c r="AC71" t="str">
        <f t="shared" si="4"/>
        <v/>
      </c>
      <c r="AD71">
        <f t="shared" si="5"/>
        <v>0</v>
      </c>
      <c r="AE71" t="str">
        <f>IF($B71="","",IF(COUNTIF($B$5:$B71,$B71)=1,1,0))</f>
        <v/>
      </c>
      <c r="AF71" t="str">
        <f>IF(AE71=1,SUM($AE$5:AE71),"")</f>
        <v/>
      </c>
    </row>
    <row r="72" spans="27:32" ht="15" customHeight="1" x14ac:dyDescent="0.35">
      <c r="AA72" t="str">
        <f t="shared" si="3"/>
        <v/>
      </c>
      <c r="AB72" t="str">
        <f>IF($A72="","",IF(OR(Dashboard!$D$4="All",Dashboard!$D$4=$A72),IF(Dashboard!$G$4="All",SUM($C72:$V72),INDEX($C72:$V72,MATCH(Dashboard!$G$4,$C$4:$V$4,0))),0))</f>
        <v/>
      </c>
      <c r="AC72" t="str">
        <f t="shared" si="4"/>
        <v/>
      </c>
      <c r="AD72">
        <f t="shared" si="5"/>
        <v>0</v>
      </c>
      <c r="AE72" t="str">
        <f>IF($B72="","",IF(COUNTIF($B$5:$B72,$B72)=1,1,0))</f>
        <v/>
      </c>
      <c r="AF72" t="str">
        <f>IF(AE72=1,SUM($AE$5:AE72),"")</f>
        <v/>
      </c>
    </row>
    <row r="73" spans="27:32" ht="15" customHeight="1" x14ac:dyDescent="0.35">
      <c r="AA73" t="str">
        <f t="shared" si="3"/>
        <v/>
      </c>
      <c r="AB73" t="str">
        <f>IF($A73="","",IF(OR(Dashboard!$D$4="All",Dashboard!$D$4=$A73),IF(Dashboard!$G$4="All",SUM($C73:$V73),INDEX($C73:$V73,MATCH(Dashboard!$G$4,$C$4:$V$4,0))),0))</f>
        <v/>
      </c>
      <c r="AC73" t="str">
        <f t="shared" si="4"/>
        <v/>
      </c>
      <c r="AD73">
        <f t="shared" si="5"/>
        <v>0</v>
      </c>
      <c r="AE73" t="str">
        <f>IF($B73="","",IF(COUNTIF($B$5:$B73,$B73)=1,1,0))</f>
        <v/>
      </c>
      <c r="AF73" t="str">
        <f>IF(AE73=1,SUM($AE$5:AE73),"")</f>
        <v/>
      </c>
    </row>
    <row r="74" spans="27:32" ht="15" customHeight="1" x14ac:dyDescent="0.35">
      <c r="AA74" t="str">
        <f t="shared" si="3"/>
        <v/>
      </c>
      <c r="AB74" t="str">
        <f>IF($A74="","",IF(OR(Dashboard!$D$4="All",Dashboard!$D$4=$A74),IF(Dashboard!$G$4="All",SUM($C74:$V74),INDEX($C74:$V74,MATCH(Dashboard!$G$4,$C$4:$V$4,0))),0))</f>
        <v/>
      </c>
      <c r="AC74" t="str">
        <f t="shared" si="4"/>
        <v/>
      </c>
      <c r="AD74">
        <f t="shared" si="5"/>
        <v>0</v>
      </c>
      <c r="AE74" t="str">
        <f>IF($B74="","",IF(COUNTIF($B$5:$B74,$B74)=1,1,0))</f>
        <v/>
      </c>
      <c r="AF74" t="str">
        <f>IF(AE74=1,SUM($AE$5:AE74),"")</f>
        <v/>
      </c>
    </row>
    <row r="75" spans="27:32" ht="15" customHeight="1" x14ac:dyDescent="0.35">
      <c r="AA75" t="str">
        <f t="shared" si="3"/>
        <v/>
      </c>
      <c r="AB75" t="str">
        <f>IF($A75="","",IF(OR(Dashboard!$D$4="All",Dashboard!$D$4=$A75),IF(Dashboard!$G$4="All",SUM($C75:$V75),INDEX($C75:$V75,MATCH(Dashboard!$G$4,$C$4:$V$4,0))),0))</f>
        <v/>
      </c>
      <c r="AC75" t="str">
        <f t="shared" si="4"/>
        <v/>
      </c>
      <c r="AD75">
        <f t="shared" si="5"/>
        <v>0</v>
      </c>
      <c r="AE75" t="str">
        <f>IF($B75="","",IF(COUNTIF($B$5:$B75,$B75)=1,1,0))</f>
        <v/>
      </c>
      <c r="AF75" t="str">
        <f>IF(AE75=1,SUM($AE$5:AE75),"")</f>
        <v/>
      </c>
    </row>
    <row r="76" spans="27:32" ht="15" customHeight="1" x14ac:dyDescent="0.35">
      <c r="AA76" t="str">
        <f t="shared" si="3"/>
        <v/>
      </c>
      <c r="AB76" t="str">
        <f>IF($A76="","",IF(OR(Dashboard!$D$4="All",Dashboard!$D$4=$A76),IF(Dashboard!$G$4="All",SUM($C76:$V76),INDEX($C76:$V76,MATCH(Dashboard!$G$4,$C$4:$V$4,0))),0))</f>
        <v/>
      </c>
      <c r="AC76" t="str">
        <f t="shared" si="4"/>
        <v/>
      </c>
      <c r="AD76">
        <f t="shared" si="5"/>
        <v>0</v>
      </c>
      <c r="AE76" t="str">
        <f>IF($B76="","",IF(COUNTIF($B$5:$B76,$B76)=1,1,0))</f>
        <v/>
      </c>
      <c r="AF76" t="str">
        <f>IF(AE76=1,SUM($AE$5:AE76),"")</f>
        <v/>
      </c>
    </row>
    <row r="77" spans="27:32" ht="15" customHeight="1" x14ac:dyDescent="0.35">
      <c r="AA77" t="str">
        <f t="shared" si="3"/>
        <v/>
      </c>
      <c r="AB77" t="str">
        <f>IF($A77="","",IF(OR(Dashboard!$D$4="All",Dashboard!$D$4=$A77),IF(Dashboard!$G$4="All",SUM($C77:$V77),INDEX($C77:$V77,MATCH(Dashboard!$G$4,$C$4:$V$4,0))),0))</f>
        <v/>
      </c>
      <c r="AC77" t="str">
        <f t="shared" si="4"/>
        <v/>
      </c>
      <c r="AD77">
        <f t="shared" si="5"/>
        <v>0</v>
      </c>
      <c r="AE77" t="str">
        <f>IF($B77="","",IF(COUNTIF($B$5:$B77,$B77)=1,1,0))</f>
        <v/>
      </c>
      <c r="AF77" t="str">
        <f>IF(AE77=1,SUM($AE$5:AE77),"")</f>
        <v/>
      </c>
    </row>
    <row r="78" spans="27:32" ht="15" customHeight="1" x14ac:dyDescent="0.35">
      <c r="AA78" t="str">
        <f t="shared" si="3"/>
        <v/>
      </c>
      <c r="AB78" t="str">
        <f>IF($A78="","",IF(OR(Dashboard!$D$4="All",Dashboard!$D$4=$A78),IF(Dashboard!$G$4="All",SUM($C78:$V78),INDEX($C78:$V78,MATCH(Dashboard!$G$4,$C$4:$V$4,0))),0))</f>
        <v/>
      </c>
      <c r="AC78" t="str">
        <f t="shared" si="4"/>
        <v/>
      </c>
      <c r="AD78">
        <f t="shared" si="5"/>
        <v>0</v>
      </c>
      <c r="AE78" t="str">
        <f>IF($B78="","",IF(COUNTIF($B$5:$B78,$B78)=1,1,0))</f>
        <v/>
      </c>
      <c r="AF78" t="str">
        <f>IF(AE78=1,SUM($AE$5:AE78),"")</f>
        <v/>
      </c>
    </row>
    <row r="79" spans="27:32" ht="15" customHeight="1" x14ac:dyDescent="0.35">
      <c r="AA79" t="str">
        <f t="shared" si="3"/>
        <v/>
      </c>
      <c r="AB79" t="str">
        <f>IF($A79="","",IF(OR(Dashboard!$D$4="All",Dashboard!$D$4=$A79),IF(Dashboard!$G$4="All",SUM($C79:$V79),INDEX($C79:$V79,MATCH(Dashboard!$G$4,$C$4:$V$4,0))),0))</f>
        <v/>
      </c>
      <c r="AC79" t="str">
        <f t="shared" si="4"/>
        <v/>
      </c>
      <c r="AD79">
        <f t="shared" si="5"/>
        <v>0</v>
      </c>
      <c r="AE79" t="str">
        <f>IF($B79="","",IF(COUNTIF($B$5:$B79,$B79)=1,1,0))</f>
        <v/>
      </c>
      <c r="AF79" t="str">
        <f>IF(AE79=1,SUM($AE$5:AE79),"")</f>
        <v/>
      </c>
    </row>
    <row r="80" spans="27:32" ht="15" customHeight="1" x14ac:dyDescent="0.35">
      <c r="AA80" t="str">
        <f t="shared" si="3"/>
        <v/>
      </c>
      <c r="AB80" t="str">
        <f>IF($A80="","",IF(OR(Dashboard!$D$4="All",Dashboard!$D$4=$A80),IF(Dashboard!$G$4="All",SUM($C80:$V80),INDEX($C80:$V80,MATCH(Dashboard!$G$4,$C$4:$V$4,0))),0))</f>
        <v/>
      </c>
      <c r="AC80" t="str">
        <f t="shared" si="4"/>
        <v/>
      </c>
      <c r="AD80">
        <f t="shared" si="5"/>
        <v>0</v>
      </c>
      <c r="AE80" t="str">
        <f>IF($B80="","",IF(COUNTIF($B$5:$B80,$B80)=1,1,0))</f>
        <v/>
      </c>
      <c r="AF80" t="str">
        <f>IF(AE80=1,SUM($AE$5:AE80),"")</f>
        <v/>
      </c>
    </row>
    <row r="81" spans="27:32" ht="15" customHeight="1" x14ac:dyDescent="0.35">
      <c r="AA81" t="str">
        <f t="shared" si="3"/>
        <v/>
      </c>
      <c r="AB81" t="str">
        <f>IF($A81="","",IF(OR(Dashboard!$D$4="All",Dashboard!$D$4=$A81),IF(Dashboard!$G$4="All",SUM($C81:$V81),INDEX($C81:$V81,MATCH(Dashboard!$G$4,$C$4:$V$4,0))),0))</f>
        <v/>
      </c>
      <c r="AC81" t="str">
        <f t="shared" si="4"/>
        <v/>
      </c>
      <c r="AD81">
        <f t="shared" si="5"/>
        <v>0</v>
      </c>
      <c r="AE81" t="str">
        <f>IF($B81="","",IF(COUNTIF($B$5:$B81,$B81)=1,1,0))</f>
        <v/>
      </c>
      <c r="AF81" t="str">
        <f>IF(AE81=1,SUM($AE$5:AE81),"")</f>
        <v/>
      </c>
    </row>
    <row r="82" spans="27:32" ht="15" customHeight="1" x14ac:dyDescent="0.35">
      <c r="AA82" t="str">
        <f t="shared" si="3"/>
        <v/>
      </c>
      <c r="AB82" t="str">
        <f>IF($A82="","",IF(OR(Dashboard!$D$4="All",Dashboard!$D$4=$A82),IF(Dashboard!$G$4="All",SUM($C82:$V82),INDEX($C82:$V82,MATCH(Dashboard!$G$4,$C$4:$V$4,0))),0))</f>
        <v/>
      </c>
      <c r="AC82" t="str">
        <f t="shared" si="4"/>
        <v/>
      </c>
      <c r="AD82">
        <f t="shared" si="5"/>
        <v>0</v>
      </c>
      <c r="AE82" t="str">
        <f>IF($B82="","",IF(COUNTIF($B$5:$B82,$B82)=1,1,0))</f>
        <v/>
      </c>
      <c r="AF82" t="str">
        <f>IF(AE82=1,SUM($AE$5:AE82),"")</f>
        <v/>
      </c>
    </row>
    <row r="83" spans="27:32" ht="15" customHeight="1" x14ac:dyDescent="0.35">
      <c r="AA83" t="str">
        <f t="shared" si="3"/>
        <v/>
      </c>
      <c r="AB83" t="str">
        <f>IF($A83="","",IF(OR(Dashboard!$D$4="All",Dashboard!$D$4=$A83),IF(Dashboard!$G$4="All",SUM($C83:$V83),INDEX($C83:$V83,MATCH(Dashboard!$G$4,$C$4:$V$4,0))),0))</f>
        <v/>
      </c>
      <c r="AC83" t="str">
        <f t="shared" si="4"/>
        <v/>
      </c>
      <c r="AD83">
        <f t="shared" si="5"/>
        <v>0</v>
      </c>
      <c r="AE83" t="str">
        <f>IF($B83="","",IF(COUNTIF($B$5:$B83,$B83)=1,1,0))</f>
        <v/>
      </c>
      <c r="AF83" t="str">
        <f>IF(AE83=1,SUM($AE$5:AE83),"")</f>
        <v/>
      </c>
    </row>
    <row r="84" spans="27:32" ht="15" customHeight="1" x14ac:dyDescent="0.35">
      <c r="AA84" t="str">
        <f t="shared" si="3"/>
        <v/>
      </c>
      <c r="AB84" t="str">
        <f>IF($A84="","",IF(OR(Dashboard!$D$4="All",Dashboard!$D$4=$A84),IF(Dashboard!$G$4="All",SUM($C84:$V84),INDEX($C84:$V84,MATCH(Dashboard!$G$4,$C$4:$V$4,0))),0))</f>
        <v/>
      </c>
      <c r="AC84" t="str">
        <f t="shared" si="4"/>
        <v/>
      </c>
      <c r="AD84">
        <f t="shared" si="5"/>
        <v>0</v>
      </c>
      <c r="AE84" t="str">
        <f>IF($B84="","",IF(COUNTIF($B$5:$B84,$B84)=1,1,0))</f>
        <v/>
      </c>
      <c r="AF84" t="str">
        <f>IF(AE84=1,SUM($AE$5:AE84),"")</f>
        <v/>
      </c>
    </row>
    <row r="85" spans="27:32" ht="15" customHeight="1" x14ac:dyDescent="0.35">
      <c r="AA85" t="str">
        <f t="shared" si="3"/>
        <v/>
      </c>
      <c r="AB85" t="str">
        <f>IF($A85="","",IF(OR(Dashboard!$D$4="All",Dashboard!$D$4=$A85),IF(Dashboard!$G$4="All",SUM($C85:$V85),INDEX($C85:$V85,MATCH(Dashboard!$G$4,$C$4:$V$4,0))),0))</f>
        <v/>
      </c>
      <c r="AC85" t="str">
        <f t="shared" si="4"/>
        <v/>
      </c>
      <c r="AD85">
        <f t="shared" si="5"/>
        <v>0</v>
      </c>
      <c r="AE85" t="str">
        <f>IF($B85="","",IF(COUNTIF($B$5:$B85,$B85)=1,1,0))</f>
        <v/>
      </c>
      <c r="AF85" t="str">
        <f>IF(AE85=1,SUM($AE$5:AE85),"")</f>
        <v/>
      </c>
    </row>
    <row r="86" spans="27:32" ht="15" customHeight="1" x14ac:dyDescent="0.35">
      <c r="AA86" t="str">
        <f t="shared" si="3"/>
        <v/>
      </c>
      <c r="AB86" t="str">
        <f>IF($A86="","",IF(OR(Dashboard!$D$4="All",Dashboard!$D$4=$A86),IF(Dashboard!$G$4="All",SUM($C86:$V86),INDEX($C86:$V86,MATCH(Dashboard!$G$4,$C$4:$V$4,0))),0))</f>
        <v/>
      </c>
      <c r="AC86" t="str">
        <f t="shared" si="4"/>
        <v/>
      </c>
      <c r="AD86">
        <f t="shared" si="5"/>
        <v>0</v>
      </c>
      <c r="AE86" t="str">
        <f>IF($B86="","",IF(COUNTIF($B$5:$B86,$B86)=1,1,0))</f>
        <v/>
      </c>
      <c r="AF86" t="str">
        <f>IF(AE86=1,SUM($AE$5:AE86),"")</f>
        <v/>
      </c>
    </row>
    <row r="87" spans="27:32" ht="15" customHeight="1" x14ac:dyDescent="0.35">
      <c r="AA87" t="str">
        <f t="shared" si="3"/>
        <v/>
      </c>
      <c r="AB87" t="str">
        <f>IF($A87="","",IF(OR(Dashboard!$D$4="All",Dashboard!$D$4=$A87),IF(Dashboard!$G$4="All",SUM($C87:$V87),INDEX($C87:$V87,MATCH(Dashboard!$G$4,$C$4:$V$4,0))),0))</f>
        <v/>
      </c>
      <c r="AC87" t="str">
        <f t="shared" si="4"/>
        <v/>
      </c>
      <c r="AD87">
        <f t="shared" si="5"/>
        <v>0</v>
      </c>
      <c r="AE87" t="str">
        <f>IF($B87="","",IF(COUNTIF($B$5:$B87,$B87)=1,1,0))</f>
        <v/>
      </c>
      <c r="AF87" t="str">
        <f>IF(AE87=1,SUM($AE$5:AE87),"")</f>
        <v/>
      </c>
    </row>
    <row r="88" spans="27:32" ht="15" customHeight="1" x14ac:dyDescent="0.35">
      <c r="AA88" t="str">
        <f t="shared" si="3"/>
        <v/>
      </c>
      <c r="AB88" t="str">
        <f>IF($A88="","",IF(OR(Dashboard!$D$4="All",Dashboard!$D$4=$A88),IF(Dashboard!$G$4="All",SUM($C88:$V88),INDEX($C88:$V88,MATCH(Dashboard!$G$4,$C$4:$V$4,0))),0))</f>
        <v/>
      </c>
      <c r="AC88" t="str">
        <f t="shared" si="4"/>
        <v/>
      </c>
      <c r="AD88">
        <f t="shared" si="5"/>
        <v>0</v>
      </c>
      <c r="AE88" t="str">
        <f>IF($B88="","",IF(COUNTIF($B$5:$B88,$B88)=1,1,0))</f>
        <v/>
      </c>
      <c r="AF88" t="str">
        <f>IF(AE88=1,SUM($AE$5:AE88),"")</f>
        <v/>
      </c>
    </row>
    <row r="89" spans="27:32" ht="15" customHeight="1" x14ac:dyDescent="0.35">
      <c r="AA89" t="str">
        <f t="shared" si="3"/>
        <v/>
      </c>
      <c r="AB89" t="str">
        <f>IF($A89="","",IF(OR(Dashboard!$D$4="All",Dashboard!$D$4=$A89),IF(Dashboard!$G$4="All",SUM($C89:$V89),INDEX($C89:$V89,MATCH(Dashboard!$G$4,$C$4:$V$4,0))),0))</f>
        <v/>
      </c>
      <c r="AC89" t="str">
        <f t="shared" si="4"/>
        <v/>
      </c>
      <c r="AD89">
        <f t="shared" si="5"/>
        <v>0</v>
      </c>
      <c r="AE89" t="str">
        <f>IF($B89="","",IF(COUNTIF($B$5:$B89,$B89)=1,1,0))</f>
        <v/>
      </c>
      <c r="AF89" t="str">
        <f>IF(AE89=1,SUM($AE$5:AE89),"")</f>
        <v/>
      </c>
    </row>
    <row r="90" spans="27:32" ht="15" customHeight="1" x14ac:dyDescent="0.35">
      <c r="AA90" t="str">
        <f t="shared" si="3"/>
        <v/>
      </c>
      <c r="AB90" t="str">
        <f>IF($A90="","",IF(OR(Dashboard!$D$4="All",Dashboard!$D$4=$A90),IF(Dashboard!$G$4="All",SUM($C90:$V90),INDEX($C90:$V90,MATCH(Dashboard!$G$4,$C$4:$V$4,0))),0))</f>
        <v/>
      </c>
      <c r="AC90" t="str">
        <f t="shared" si="4"/>
        <v/>
      </c>
      <c r="AD90">
        <f t="shared" si="5"/>
        <v>0</v>
      </c>
      <c r="AE90" t="str">
        <f>IF($B90="","",IF(COUNTIF($B$5:$B90,$B90)=1,1,0))</f>
        <v/>
      </c>
      <c r="AF90" t="str">
        <f>IF(AE90=1,SUM($AE$5:AE90),"")</f>
        <v/>
      </c>
    </row>
    <row r="91" spans="27:32" ht="15" customHeight="1" x14ac:dyDescent="0.35">
      <c r="AA91" t="str">
        <f t="shared" si="3"/>
        <v/>
      </c>
      <c r="AB91" t="str">
        <f>IF($A91="","",IF(OR(Dashboard!$D$4="All",Dashboard!$D$4=$A91),IF(Dashboard!$G$4="All",SUM($C91:$V91),INDEX($C91:$V91,MATCH(Dashboard!$G$4,$C$4:$V$4,0))),0))</f>
        <v/>
      </c>
      <c r="AC91" t="str">
        <f t="shared" si="4"/>
        <v/>
      </c>
      <c r="AD91">
        <f t="shared" si="5"/>
        <v>0</v>
      </c>
      <c r="AE91" t="str">
        <f>IF($B91="","",IF(COUNTIF($B$5:$B91,$B91)=1,1,0))</f>
        <v/>
      </c>
      <c r="AF91" t="str">
        <f>IF(AE91=1,SUM($AE$5:AE91),"")</f>
        <v/>
      </c>
    </row>
    <row r="92" spans="27:32" ht="15" customHeight="1" x14ac:dyDescent="0.35">
      <c r="AA92" t="str">
        <f t="shared" si="3"/>
        <v/>
      </c>
      <c r="AB92" t="str">
        <f>IF($A92="","",IF(OR(Dashboard!$D$4="All",Dashboard!$D$4=$A92),IF(Dashboard!$G$4="All",SUM($C92:$V92),INDEX($C92:$V92,MATCH(Dashboard!$G$4,$C$4:$V$4,0))),0))</f>
        <v/>
      </c>
      <c r="AC92" t="str">
        <f t="shared" si="4"/>
        <v/>
      </c>
      <c r="AD92">
        <f t="shared" si="5"/>
        <v>0</v>
      </c>
      <c r="AE92" t="str">
        <f>IF($B92="","",IF(COUNTIF($B$5:$B92,$B92)=1,1,0))</f>
        <v/>
      </c>
      <c r="AF92" t="str">
        <f>IF(AE92=1,SUM($AE$5:AE92),"")</f>
        <v/>
      </c>
    </row>
    <row r="93" spans="27:32" ht="15" customHeight="1" x14ac:dyDescent="0.35">
      <c r="AA93" t="str">
        <f t="shared" si="3"/>
        <v/>
      </c>
      <c r="AB93" t="str">
        <f>IF($A93="","",IF(OR(Dashboard!$D$4="All",Dashboard!$D$4=$A93),IF(Dashboard!$G$4="All",SUM($C93:$V93),INDEX($C93:$V93,MATCH(Dashboard!$G$4,$C$4:$V$4,0))),0))</f>
        <v/>
      </c>
      <c r="AC93" t="str">
        <f t="shared" si="4"/>
        <v/>
      </c>
      <c r="AD93">
        <f t="shared" si="5"/>
        <v>0</v>
      </c>
      <c r="AE93" t="str">
        <f>IF($B93="","",IF(COUNTIF($B$5:$B93,$B93)=1,1,0))</f>
        <v/>
      </c>
      <c r="AF93" t="str">
        <f>IF(AE93=1,SUM($AE$5:AE93),"")</f>
        <v/>
      </c>
    </row>
    <row r="94" spans="27:32" ht="15" customHeight="1" x14ac:dyDescent="0.35">
      <c r="AA94" t="str">
        <f t="shared" si="3"/>
        <v/>
      </c>
      <c r="AB94" t="str">
        <f>IF($A94="","",IF(OR(Dashboard!$D$4="All",Dashboard!$D$4=$A94),IF(Dashboard!$G$4="All",SUM($C94:$V94),INDEX($C94:$V94,MATCH(Dashboard!$G$4,$C$4:$V$4,0))),0))</f>
        <v/>
      </c>
      <c r="AC94" t="str">
        <f t="shared" si="4"/>
        <v/>
      </c>
      <c r="AD94">
        <f t="shared" si="5"/>
        <v>0</v>
      </c>
      <c r="AE94" t="str">
        <f>IF($B94="","",IF(COUNTIF($B$5:$B94,$B94)=1,1,0))</f>
        <v/>
      </c>
      <c r="AF94" t="str">
        <f>IF(AE94=1,SUM($AE$5:AE94),"")</f>
        <v/>
      </c>
    </row>
    <row r="95" spans="27:32" ht="15" customHeight="1" x14ac:dyDescent="0.35">
      <c r="AA95" t="str">
        <f t="shared" si="3"/>
        <v/>
      </c>
      <c r="AB95" t="str">
        <f>IF($A95="","",IF(OR(Dashboard!$D$4="All",Dashboard!$D$4=$A95),IF(Dashboard!$G$4="All",SUM($C95:$V95),INDEX($C95:$V95,MATCH(Dashboard!$G$4,$C$4:$V$4,0))),0))</f>
        <v/>
      </c>
      <c r="AC95" t="str">
        <f t="shared" si="4"/>
        <v/>
      </c>
      <c r="AD95">
        <f t="shared" si="5"/>
        <v>0</v>
      </c>
      <c r="AE95" t="str">
        <f>IF($B95="","",IF(COUNTIF($B$5:$B95,$B95)=1,1,0))</f>
        <v/>
      </c>
      <c r="AF95" t="str">
        <f>IF(AE95=1,SUM($AE$5:AE95),"")</f>
        <v/>
      </c>
    </row>
    <row r="96" spans="27:32" ht="15" customHeight="1" x14ac:dyDescent="0.35">
      <c r="AA96" t="str">
        <f t="shared" si="3"/>
        <v/>
      </c>
      <c r="AB96" t="str">
        <f>IF($A96="","",IF(OR(Dashboard!$D$4="All",Dashboard!$D$4=$A96),IF(Dashboard!$G$4="All",SUM($C96:$V96),INDEX($C96:$V96,MATCH(Dashboard!$G$4,$C$4:$V$4,0))),0))</f>
        <v/>
      </c>
      <c r="AC96" t="str">
        <f t="shared" si="4"/>
        <v/>
      </c>
      <c r="AD96">
        <f t="shared" si="5"/>
        <v>0</v>
      </c>
      <c r="AE96" t="str">
        <f>IF($B96="","",IF(COUNTIF($B$5:$B96,$B96)=1,1,0))</f>
        <v/>
      </c>
      <c r="AF96" t="str">
        <f>IF(AE96=1,SUM($AE$5:AE96),"")</f>
        <v/>
      </c>
    </row>
    <row r="97" spans="27:32" ht="15" customHeight="1" x14ac:dyDescent="0.35">
      <c r="AA97" t="str">
        <f t="shared" si="3"/>
        <v/>
      </c>
      <c r="AB97" t="str">
        <f>IF($A97="","",IF(OR(Dashboard!$D$4="All",Dashboard!$D$4=$A97),IF(Dashboard!$G$4="All",SUM($C97:$V97),INDEX($C97:$V97,MATCH(Dashboard!$G$4,$C$4:$V$4,0))),0))</f>
        <v/>
      </c>
      <c r="AC97" t="str">
        <f t="shared" si="4"/>
        <v/>
      </c>
      <c r="AD97">
        <f t="shared" si="5"/>
        <v>0</v>
      </c>
      <c r="AE97" t="str">
        <f>IF($B97="","",IF(COUNTIF($B$5:$B97,$B97)=1,1,0))</f>
        <v/>
      </c>
      <c r="AF97" t="str">
        <f>IF(AE97=1,SUM($AE$5:AE97),"")</f>
        <v/>
      </c>
    </row>
    <row r="98" spans="27:32" ht="15" customHeight="1" x14ac:dyDescent="0.35">
      <c r="AA98" t="str">
        <f t="shared" si="3"/>
        <v/>
      </c>
      <c r="AB98" t="str">
        <f>IF($A98="","",IF(OR(Dashboard!$D$4="All",Dashboard!$D$4=$A98),IF(Dashboard!$G$4="All",SUM($C98:$V98),INDEX($C98:$V98,MATCH(Dashboard!$G$4,$C$4:$V$4,0))),0))</f>
        <v/>
      </c>
      <c r="AC98" t="str">
        <f t="shared" si="4"/>
        <v/>
      </c>
      <c r="AD98">
        <f t="shared" si="5"/>
        <v>0</v>
      </c>
      <c r="AE98" t="str">
        <f>IF($B98="","",IF(COUNTIF($B$5:$B98,$B98)=1,1,0))</f>
        <v/>
      </c>
      <c r="AF98" t="str">
        <f>IF(AE98=1,SUM($AE$5:AE98),"")</f>
        <v/>
      </c>
    </row>
    <row r="99" spans="27:32" ht="15" customHeight="1" x14ac:dyDescent="0.35">
      <c r="AA99" t="str">
        <f t="shared" si="3"/>
        <v/>
      </c>
      <c r="AB99" t="str">
        <f>IF($A99="","",IF(OR(Dashboard!$D$4="All",Dashboard!$D$4=$A99),IF(Dashboard!$G$4="All",SUM($C99:$V99),INDEX($C99:$V99,MATCH(Dashboard!$G$4,$C$4:$V$4,0))),0))</f>
        <v/>
      </c>
      <c r="AC99" t="str">
        <f t="shared" si="4"/>
        <v/>
      </c>
      <c r="AD99">
        <f t="shared" si="5"/>
        <v>0</v>
      </c>
      <c r="AE99" t="str">
        <f>IF($B99="","",IF(COUNTIF($B$5:$B99,$B99)=1,1,0))</f>
        <v/>
      </c>
      <c r="AF99" t="str">
        <f>IF(AE99=1,SUM($AE$5:AE99),"")</f>
        <v/>
      </c>
    </row>
    <row r="100" spans="27:32" ht="15" customHeight="1" x14ac:dyDescent="0.35">
      <c r="AA100" t="str">
        <f t="shared" si="3"/>
        <v/>
      </c>
      <c r="AB100" t="str">
        <f>IF($A100="","",IF(OR(Dashboard!$D$4="All",Dashboard!$D$4=$A100),IF(Dashboard!$G$4="All",SUM($C100:$V100),INDEX($C100:$V100,MATCH(Dashboard!$G$4,$C$4:$V$4,0))),0))</f>
        <v/>
      </c>
      <c r="AC100" t="str">
        <f t="shared" si="4"/>
        <v/>
      </c>
      <c r="AD100">
        <f t="shared" si="5"/>
        <v>0</v>
      </c>
      <c r="AE100" t="str">
        <f>IF($B100="","",IF(COUNTIF($B$5:$B100,$B100)=1,1,0))</f>
        <v/>
      </c>
      <c r="AF100" t="str">
        <f>IF(AE100=1,SUM($AE$5:AE100),"")</f>
        <v/>
      </c>
    </row>
    <row r="101" spans="27:32" ht="15" customHeight="1" x14ac:dyDescent="0.35">
      <c r="AA101" t="str">
        <f t="shared" si="3"/>
        <v/>
      </c>
      <c r="AB101" t="str">
        <f>IF($A101="","",IF(OR(Dashboard!$D$4="All",Dashboard!$D$4=$A101),IF(Dashboard!$G$4="All",SUM($C101:$V101),INDEX($C101:$V101,MATCH(Dashboard!$G$4,$C$4:$V$4,0))),0))</f>
        <v/>
      </c>
      <c r="AC101" t="str">
        <f t="shared" si="4"/>
        <v/>
      </c>
      <c r="AD101">
        <f t="shared" si="5"/>
        <v>0</v>
      </c>
      <c r="AE101" t="str">
        <f>IF($B101="","",IF(COUNTIF($B$5:$B101,$B101)=1,1,0))</f>
        <v/>
      </c>
      <c r="AF101" t="str">
        <f>IF(AE101=1,SUM($AE$5:AE101),"")</f>
        <v/>
      </c>
    </row>
    <row r="102" spans="27:32" ht="15" customHeight="1" x14ac:dyDescent="0.35">
      <c r="AA102" t="str">
        <f t="shared" si="3"/>
        <v/>
      </c>
      <c r="AB102" t="str">
        <f>IF($A102="","",IF(OR(Dashboard!$D$4="All",Dashboard!$D$4=$A102),IF(Dashboard!$G$4="All",SUM($C102:$V102),INDEX($C102:$V102,MATCH(Dashboard!$G$4,$C$4:$V$4,0))),0))</f>
        <v/>
      </c>
      <c r="AC102" t="str">
        <f t="shared" si="4"/>
        <v/>
      </c>
      <c r="AD102">
        <f t="shared" si="5"/>
        <v>0</v>
      </c>
      <c r="AE102" t="str">
        <f>IF($B102="","",IF(COUNTIF($B$5:$B102,$B102)=1,1,0))</f>
        <v/>
      </c>
      <c r="AF102" t="str">
        <f>IF(AE102=1,SUM($AE$5:AE102),"")</f>
        <v/>
      </c>
    </row>
    <row r="103" spans="27:32" ht="15" customHeight="1" x14ac:dyDescent="0.35">
      <c r="AA103" t="str">
        <f t="shared" si="3"/>
        <v/>
      </c>
      <c r="AB103" t="str">
        <f>IF($A103="","",IF(OR(Dashboard!$D$4="All",Dashboard!$D$4=$A103),IF(Dashboard!$G$4="All",SUM($C103:$V103),INDEX($C103:$V103,MATCH(Dashboard!$G$4,$C$4:$V$4,0))),0))</f>
        <v/>
      </c>
      <c r="AC103" t="str">
        <f t="shared" si="4"/>
        <v/>
      </c>
      <c r="AD103">
        <f t="shared" si="5"/>
        <v>0</v>
      </c>
      <c r="AE103" t="str">
        <f>IF($B103="","",IF(COUNTIF($B$5:$B103,$B103)=1,1,0))</f>
        <v/>
      </c>
      <c r="AF103" t="str">
        <f>IF(AE103=1,SUM($AE$5:AE103),"")</f>
        <v/>
      </c>
    </row>
    <row r="104" spans="27:32" ht="15" customHeight="1" x14ac:dyDescent="0.35">
      <c r="AA104" t="str">
        <f t="shared" si="3"/>
        <v/>
      </c>
      <c r="AB104" t="str">
        <f>IF($A104="","",IF(OR(Dashboard!$D$4="All",Dashboard!$D$4=$A104),IF(Dashboard!$G$4="All",SUM($C104:$V104),INDEX($C104:$V104,MATCH(Dashboard!$G$4,$C$4:$V$4,0))),0))</f>
        <v/>
      </c>
      <c r="AC104" t="str">
        <f t="shared" si="4"/>
        <v/>
      </c>
      <c r="AD104">
        <f t="shared" si="5"/>
        <v>0</v>
      </c>
      <c r="AE104" t="str">
        <f>IF($B104="","",IF(COUNTIF($B$5:$B104,$B104)=1,1,0))</f>
        <v/>
      </c>
      <c r="AF104" t="str">
        <f>IF(AE104=1,SUM($AE$5:AE104),"")</f>
        <v/>
      </c>
    </row>
    <row r="105" spans="27:32" ht="15" customHeight="1" x14ac:dyDescent="0.35">
      <c r="AA105" t="str">
        <f t="shared" si="3"/>
        <v/>
      </c>
      <c r="AB105" t="str">
        <f>IF($A105="","",IF(OR(Dashboard!$D$4="All",Dashboard!$D$4=$A105),IF(Dashboard!$G$4="All",SUM($C105:$V105),INDEX($C105:$V105,MATCH(Dashboard!$G$4,$C$4:$V$4,0))),0))</f>
        <v/>
      </c>
      <c r="AC105" t="str">
        <f t="shared" si="4"/>
        <v/>
      </c>
      <c r="AD105">
        <f t="shared" si="5"/>
        <v>0</v>
      </c>
      <c r="AE105" t="str">
        <f>IF($B105="","",IF(COUNTIF($B$5:$B105,$B105)=1,1,0))</f>
        <v/>
      </c>
      <c r="AF105" t="str">
        <f>IF(AE105=1,SUM($AE$5:AE105),"")</f>
        <v/>
      </c>
    </row>
    <row r="106" spans="27:32" ht="15" customHeight="1" x14ac:dyDescent="0.35">
      <c r="AA106" t="str">
        <f t="shared" si="3"/>
        <v/>
      </c>
      <c r="AB106" t="str">
        <f>IF($A106="","",IF(OR(Dashboard!$D$4="All",Dashboard!$D$4=$A106),IF(Dashboard!$G$4="All",SUM($C106:$V106),INDEX($C106:$V106,MATCH(Dashboard!$G$4,$C$4:$V$4,0))),0))</f>
        <v/>
      </c>
      <c r="AC106" t="str">
        <f t="shared" si="4"/>
        <v/>
      </c>
      <c r="AD106">
        <f t="shared" si="5"/>
        <v>0</v>
      </c>
      <c r="AE106" t="str">
        <f>IF($B106="","",IF(COUNTIF($B$5:$B106,$B106)=1,1,0))</f>
        <v/>
      </c>
      <c r="AF106" t="str">
        <f>IF(AE106=1,SUM($AE$5:AE106),"")</f>
        <v/>
      </c>
    </row>
    <row r="107" spans="27:32" ht="15" customHeight="1" x14ac:dyDescent="0.35">
      <c r="AA107" t="str">
        <f t="shared" si="3"/>
        <v/>
      </c>
      <c r="AB107" t="str">
        <f>IF($A107="","",IF(OR(Dashboard!$D$4="All",Dashboard!$D$4=$A107),IF(Dashboard!$G$4="All",SUM($C107:$V107),INDEX($C107:$V107,MATCH(Dashboard!$G$4,$C$4:$V$4,0))),0))</f>
        <v/>
      </c>
      <c r="AC107" t="str">
        <f t="shared" si="4"/>
        <v/>
      </c>
      <c r="AD107">
        <f t="shared" si="5"/>
        <v>0</v>
      </c>
      <c r="AE107" t="str">
        <f>IF($B107="","",IF(COUNTIF($B$5:$B107,$B107)=1,1,0))</f>
        <v/>
      </c>
      <c r="AF107" t="str">
        <f>IF(AE107=1,SUM($AE$5:AE107),"")</f>
        <v/>
      </c>
    </row>
    <row r="108" spans="27:32" ht="15" customHeight="1" x14ac:dyDescent="0.35">
      <c r="AA108" t="str">
        <f t="shared" si="3"/>
        <v/>
      </c>
      <c r="AB108" t="str">
        <f>IF($A108="","",IF(OR(Dashboard!$D$4="All",Dashboard!$D$4=$A108),IF(Dashboard!$G$4="All",SUM($C108:$V108),INDEX($C108:$V108,MATCH(Dashboard!$G$4,$C$4:$V$4,0))),0))</f>
        <v/>
      </c>
      <c r="AC108" t="str">
        <f t="shared" si="4"/>
        <v/>
      </c>
      <c r="AD108">
        <f t="shared" si="5"/>
        <v>0</v>
      </c>
      <c r="AE108" t="str">
        <f>IF($B108="","",IF(COUNTIF($B$5:$B108,$B108)=1,1,0))</f>
        <v/>
      </c>
      <c r="AF108" t="str">
        <f>IF(AE108=1,SUM($AE$5:AE108),"")</f>
        <v/>
      </c>
    </row>
    <row r="109" spans="27:32" ht="15" customHeight="1" x14ac:dyDescent="0.35">
      <c r="AA109" t="str">
        <f t="shared" si="3"/>
        <v/>
      </c>
      <c r="AB109" t="str">
        <f>IF($A109="","",IF(OR(Dashboard!$D$4="All",Dashboard!$D$4=$A109),IF(Dashboard!$G$4="All",SUM($C109:$V109),INDEX($C109:$V109,MATCH(Dashboard!$G$4,$C$4:$V$4,0))),0))</f>
        <v/>
      </c>
      <c r="AC109" t="str">
        <f t="shared" si="4"/>
        <v/>
      </c>
      <c r="AD109">
        <f t="shared" si="5"/>
        <v>0</v>
      </c>
      <c r="AE109" t="str">
        <f>IF($B109="","",IF(COUNTIF($B$5:$B109,$B109)=1,1,0))</f>
        <v/>
      </c>
      <c r="AF109" t="str">
        <f>IF(AE109=1,SUM($AE$5:AE109),"")</f>
        <v/>
      </c>
    </row>
    <row r="110" spans="27:32" ht="15" customHeight="1" x14ac:dyDescent="0.35">
      <c r="AA110" t="str">
        <f t="shared" si="3"/>
        <v/>
      </c>
      <c r="AB110" t="str">
        <f>IF($A110="","",IF(OR(Dashboard!$D$4="All",Dashboard!$D$4=$A110),IF(Dashboard!$G$4="All",SUM($C110:$V110),INDEX($C110:$V110,MATCH(Dashboard!$G$4,$C$4:$V$4,0))),0))</f>
        <v/>
      </c>
      <c r="AC110" t="str">
        <f t="shared" si="4"/>
        <v/>
      </c>
      <c r="AD110">
        <f t="shared" si="5"/>
        <v>0</v>
      </c>
      <c r="AE110" t="str">
        <f>IF($B110="","",IF(COUNTIF($B$5:$B110,$B110)=1,1,0))</f>
        <v/>
      </c>
      <c r="AF110" t="str">
        <f>IF(AE110=1,SUM($AE$5:AE110),"")</f>
        <v/>
      </c>
    </row>
    <row r="111" spans="27:32" ht="15" customHeight="1" x14ac:dyDescent="0.35">
      <c r="AA111" t="str">
        <f t="shared" si="3"/>
        <v/>
      </c>
      <c r="AB111" t="str">
        <f>IF($A111="","",IF(OR(Dashboard!$D$4="All",Dashboard!$D$4=$A111),IF(Dashboard!$G$4="All",SUM($C111:$V111),INDEX($C111:$V111,MATCH(Dashboard!$G$4,$C$4:$V$4,0))),0))</f>
        <v/>
      </c>
      <c r="AC111" t="str">
        <f t="shared" si="4"/>
        <v/>
      </c>
      <c r="AD111">
        <f t="shared" si="5"/>
        <v>0</v>
      </c>
      <c r="AE111" t="str">
        <f>IF($B111="","",IF(COUNTIF($B$5:$B111,$B111)=1,1,0))</f>
        <v/>
      </c>
      <c r="AF111" t="str">
        <f>IF(AE111=1,SUM($AE$5:AE111),"")</f>
        <v/>
      </c>
    </row>
    <row r="112" spans="27:32" ht="15" customHeight="1" x14ac:dyDescent="0.35">
      <c r="AA112" t="str">
        <f t="shared" si="3"/>
        <v/>
      </c>
      <c r="AB112" t="str">
        <f>IF($A112="","",IF(OR(Dashboard!$D$4="All",Dashboard!$D$4=$A112),IF(Dashboard!$G$4="All",SUM($C112:$V112),INDEX($C112:$V112,MATCH(Dashboard!$G$4,$C$4:$V$4,0))),0))</f>
        <v/>
      </c>
      <c r="AC112" t="str">
        <f t="shared" si="4"/>
        <v/>
      </c>
      <c r="AD112">
        <f t="shared" si="5"/>
        <v>0</v>
      </c>
      <c r="AE112" t="str">
        <f>IF($B112="","",IF(COUNTIF($B$5:$B112,$B112)=1,1,0))</f>
        <v/>
      </c>
      <c r="AF112" t="str">
        <f>IF(AE112=1,SUM($AE$5:AE112),"")</f>
        <v/>
      </c>
    </row>
    <row r="113" spans="27:32" ht="15" customHeight="1" x14ac:dyDescent="0.35">
      <c r="AA113" t="str">
        <f t="shared" si="3"/>
        <v/>
      </c>
      <c r="AB113" t="str">
        <f>IF($A113="","",IF(OR(Dashboard!$D$4="All",Dashboard!$D$4=$A113),IF(Dashboard!$G$4="All",SUM($C113:$V113),INDEX($C113:$V113,MATCH(Dashboard!$G$4,$C$4:$V$4,0))),0))</f>
        <v/>
      </c>
      <c r="AC113" t="str">
        <f t="shared" si="4"/>
        <v/>
      </c>
      <c r="AD113">
        <f t="shared" si="5"/>
        <v>0</v>
      </c>
      <c r="AE113" t="str">
        <f>IF($B113="","",IF(COUNTIF($B$5:$B113,$B113)=1,1,0))</f>
        <v/>
      </c>
      <c r="AF113" t="str">
        <f>IF(AE113=1,SUM($AE$5:AE113),"")</f>
        <v/>
      </c>
    </row>
    <row r="114" spans="27:32" ht="15" customHeight="1" x14ac:dyDescent="0.35">
      <c r="AA114" t="str">
        <f t="shared" si="3"/>
        <v/>
      </c>
      <c r="AB114" t="str">
        <f>IF($A114="","",IF(OR(Dashboard!$D$4="All",Dashboard!$D$4=$A114),IF(Dashboard!$G$4="All",SUM($C114:$V114),INDEX($C114:$V114,MATCH(Dashboard!$G$4,$C$4:$V$4,0))),0))</f>
        <v/>
      </c>
      <c r="AC114" t="str">
        <f t="shared" si="4"/>
        <v/>
      </c>
      <c r="AD114">
        <f t="shared" si="5"/>
        <v>0</v>
      </c>
      <c r="AE114" t="str">
        <f>IF($B114="","",IF(COUNTIF($B$5:$B114,$B114)=1,1,0))</f>
        <v/>
      </c>
      <c r="AF114" t="str">
        <f>IF(AE114=1,SUM($AE$5:AE114),"")</f>
        <v/>
      </c>
    </row>
    <row r="115" spans="27:32" ht="15" customHeight="1" x14ac:dyDescent="0.35">
      <c r="AA115" t="str">
        <f t="shared" si="3"/>
        <v/>
      </c>
      <c r="AB115" t="str">
        <f>IF($A115="","",IF(OR(Dashboard!$D$4="All",Dashboard!$D$4=$A115),IF(Dashboard!$G$4="All",SUM($C115:$V115),INDEX($C115:$V115,MATCH(Dashboard!$G$4,$C$4:$V$4,0))),0))</f>
        <v/>
      </c>
      <c r="AC115" t="str">
        <f t="shared" si="4"/>
        <v/>
      </c>
      <c r="AD115">
        <f t="shared" si="5"/>
        <v>0</v>
      </c>
      <c r="AE115" t="str">
        <f>IF($B115="","",IF(COUNTIF($B$5:$B115,$B115)=1,1,0))</f>
        <v/>
      </c>
      <c r="AF115" t="str">
        <f>IF(AE115=1,SUM($AE$5:AE115),"")</f>
        <v/>
      </c>
    </row>
    <row r="116" spans="27:32" ht="15" customHeight="1" x14ac:dyDescent="0.35">
      <c r="AA116" t="str">
        <f t="shared" si="3"/>
        <v/>
      </c>
      <c r="AB116" t="str">
        <f>IF($A116="","",IF(OR(Dashboard!$D$4="All",Dashboard!$D$4=$A116),IF(Dashboard!$G$4="All",SUM($C116:$V116),INDEX($C116:$V116,MATCH(Dashboard!$G$4,$C$4:$V$4,0))),0))</f>
        <v/>
      </c>
      <c r="AC116" t="str">
        <f t="shared" si="4"/>
        <v/>
      </c>
      <c r="AD116">
        <f t="shared" si="5"/>
        <v>0</v>
      </c>
      <c r="AE116" t="str">
        <f>IF($B116="","",IF(COUNTIF($B$5:$B116,$B116)=1,1,0))</f>
        <v/>
      </c>
      <c r="AF116" t="str">
        <f>IF(AE116=1,SUM($AE$5:AE116),"")</f>
        <v/>
      </c>
    </row>
    <row r="117" spans="27:32" ht="15" customHeight="1" x14ac:dyDescent="0.35">
      <c r="AA117" t="str">
        <f t="shared" si="3"/>
        <v/>
      </c>
      <c r="AB117" t="str">
        <f>IF($A117="","",IF(OR(Dashboard!$D$4="All",Dashboard!$D$4=$A117),IF(Dashboard!$G$4="All",SUM($C117:$V117),INDEX($C117:$V117,MATCH(Dashboard!$G$4,$C$4:$V$4,0))),0))</f>
        <v/>
      </c>
      <c r="AC117" t="str">
        <f t="shared" si="4"/>
        <v/>
      </c>
      <c r="AD117">
        <f t="shared" si="5"/>
        <v>0</v>
      </c>
      <c r="AE117" t="str">
        <f>IF($B117="","",IF(COUNTIF($B$5:$B117,$B117)=1,1,0))</f>
        <v/>
      </c>
      <c r="AF117" t="str">
        <f>IF(AE117=1,SUM($AE$5:AE117),"")</f>
        <v/>
      </c>
    </row>
    <row r="118" spans="27:32" ht="15" customHeight="1" x14ac:dyDescent="0.35">
      <c r="AA118" t="str">
        <f t="shared" si="3"/>
        <v/>
      </c>
      <c r="AB118" t="str">
        <f>IF($A118="","",IF(OR(Dashboard!$D$4="All",Dashboard!$D$4=$A118),IF(Dashboard!$G$4="All",SUM($C118:$V118),INDEX($C118:$V118,MATCH(Dashboard!$G$4,$C$4:$V$4,0))),0))</f>
        <v/>
      </c>
      <c r="AC118" t="str">
        <f t="shared" si="4"/>
        <v/>
      </c>
      <c r="AD118">
        <f t="shared" si="5"/>
        <v>0</v>
      </c>
      <c r="AE118" t="str">
        <f>IF($B118="","",IF(COUNTIF($B$5:$B118,$B118)=1,1,0))</f>
        <v/>
      </c>
      <c r="AF118" t="str">
        <f>IF(AE118=1,SUM($AE$5:AE118),"")</f>
        <v/>
      </c>
    </row>
    <row r="119" spans="27:32" ht="15" customHeight="1" x14ac:dyDescent="0.35">
      <c r="AA119" t="str">
        <f t="shared" si="3"/>
        <v/>
      </c>
      <c r="AB119" t="str">
        <f>IF($A119="","",IF(OR(Dashboard!$D$4="All",Dashboard!$D$4=$A119),IF(Dashboard!$G$4="All",SUM($C119:$V119),INDEX($C119:$V119,MATCH(Dashboard!$G$4,$C$4:$V$4,0))),0))</f>
        <v/>
      </c>
      <c r="AC119" t="str">
        <f t="shared" si="4"/>
        <v/>
      </c>
      <c r="AD119">
        <f t="shared" si="5"/>
        <v>0</v>
      </c>
      <c r="AE119" t="str">
        <f>IF($B119="","",IF(COUNTIF($B$5:$B119,$B119)=1,1,0))</f>
        <v/>
      </c>
      <c r="AF119" t="str">
        <f>IF(AE119=1,SUM($AE$5:AE119),"")</f>
        <v/>
      </c>
    </row>
    <row r="120" spans="27:32" ht="15" customHeight="1" x14ac:dyDescent="0.35">
      <c r="AA120" t="str">
        <f t="shared" si="3"/>
        <v/>
      </c>
      <c r="AB120" t="str">
        <f>IF($A120="","",IF(OR(Dashboard!$D$4="All",Dashboard!$D$4=$A120),IF(Dashboard!$G$4="All",SUM($C120:$V120),INDEX($C120:$V120,MATCH(Dashboard!$G$4,$C$4:$V$4,0))),0))</f>
        <v/>
      </c>
      <c r="AC120" t="str">
        <f t="shared" si="4"/>
        <v/>
      </c>
      <c r="AD120">
        <f t="shared" si="5"/>
        <v>0</v>
      </c>
      <c r="AE120" t="str">
        <f>IF($B120="","",IF(COUNTIF($B$5:$B120,$B120)=1,1,0))</f>
        <v/>
      </c>
      <c r="AF120" t="str">
        <f>IF(AE120=1,SUM($AE$5:AE120),"")</f>
        <v/>
      </c>
    </row>
    <row r="121" spans="27:32" ht="15" customHeight="1" x14ac:dyDescent="0.35">
      <c r="AA121" t="str">
        <f t="shared" si="3"/>
        <v/>
      </c>
      <c r="AB121" t="str">
        <f>IF($A121="","",IF(OR(Dashboard!$D$4="All",Dashboard!$D$4=$A121),IF(Dashboard!$G$4="All",SUM($C121:$V121),INDEX($C121:$V121,MATCH(Dashboard!$G$4,$C$4:$V$4,0))),0))</f>
        <v/>
      </c>
      <c r="AC121" t="str">
        <f t="shared" si="4"/>
        <v/>
      </c>
      <c r="AD121">
        <f t="shared" si="5"/>
        <v>0</v>
      </c>
      <c r="AE121" t="str">
        <f>IF($B121="","",IF(COUNTIF($B$5:$B121,$B121)=1,1,0))</f>
        <v/>
      </c>
      <c r="AF121" t="str">
        <f>IF(AE121=1,SUM($AE$5:AE121),"")</f>
        <v/>
      </c>
    </row>
    <row r="122" spans="27:32" ht="15" customHeight="1" x14ac:dyDescent="0.35">
      <c r="AA122" t="str">
        <f t="shared" si="3"/>
        <v/>
      </c>
      <c r="AB122" t="str">
        <f>IF($A122="","",IF(OR(Dashboard!$D$4="All",Dashboard!$D$4=$A122),IF(Dashboard!$G$4="All",SUM($C122:$V122),INDEX($C122:$V122,MATCH(Dashboard!$G$4,$C$4:$V$4,0))),0))</f>
        <v/>
      </c>
      <c r="AC122" t="str">
        <f t="shared" si="4"/>
        <v/>
      </c>
      <c r="AD122">
        <f t="shared" si="5"/>
        <v>0</v>
      </c>
      <c r="AE122" t="str">
        <f>IF($B122="","",IF(COUNTIF($B$5:$B122,$B122)=1,1,0))</f>
        <v/>
      </c>
      <c r="AF122" t="str">
        <f>IF(AE122=1,SUM($AE$5:AE122),"")</f>
        <v/>
      </c>
    </row>
    <row r="123" spans="27:32" ht="15" customHeight="1" x14ac:dyDescent="0.35">
      <c r="AA123" t="str">
        <f t="shared" si="3"/>
        <v/>
      </c>
      <c r="AB123" t="str">
        <f>IF($A123="","",IF(OR(Dashboard!$D$4="All",Dashboard!$D$4=$A123),IF(Dashboard!$G$4="All",SUM($C123:$V123),INDEX($C123:$V123,MATCH(Dashboard!$G$4,$C$4:$V$4,0))),0))</f>
        <v/>
      </c>
      <c r="AC123" t="str">
        <f t="shared" si="4"/>
        <v/>
      </c>
      <c r="AD123">
        <f t="shared" si="5"/>
        <v>0</v>
      </c>
      <c r="AE123" t="str">
        <f>IF($B123="","",IF(COUNTIF($B$5:$B123,$B123)=1,1,0))</f>
        <v/>
      </c>
      <c r="AF123" t="str">
        <f>IF(AE123=1,SUM($AE$5:AE123),"")</f>
        <v/>
      </c>
    </row>
    <row r="124" spans="27:32" ht="15" customHeight="1" x14ac:dyDescent="0.35">
      <c r="AA124" t="str">
        <f t="shared" si="3"/>
        <v/>
      </c>
      <c r="AB124" t="str">
        <f>IF($A124="","",IF(OR(Dashboard!$D$4="All",Dashboard!$D$4=$A124),IF(Dashboard!$G$4="All",SUM($C124:$V124),INDEX($C124:$V124,MATCH(Dashboard!$G$4,$C$4:$V$4,0))),0))</f>
        <v/>
      </c>
      <c r="AC124" t="str">
        <f t="shared" si="4"/>
        <v/>
      </c>
      <c r="AD124">
        <f t="shared" si="5"/>
        <v>0</v>
      </c>
      <c r="AE124" t="str">
        <f>IF($B124="","",IF(COUNTIF($B$5:$B124,$B124)=1,1,0))</f>
        <v/>
      </c>
      <c r="AF124" t="str">
        <f>IF(AE124=1,SUM($AE$5:AE124),"")</f>
        <v/>
      </c>
    </row>
    <row r="125" spans="27:32" ht="15" customHeight="1" x14ac:dyDescent="0.35">
      <c r="AA125" t="str">
        <f t="shared" si="3"/>
        <v/>
      </c>
      <c r="AB125" t="str">
        <f>IF($A125="","",IF(OR(Dashboard!$D$4="All",Dashboard!$D$4=$A125),IF(Dashboard!$G$4="All",SUM($C125:$V125),INDEX($C125:$V125,MATCH(Dashboard!$G$4,$C$4:$V$4,0))),0))</f>
        <v/>
      </c>
      <c r="AC125" t="str">
        <f t="shared" si="4"/>
        <v/>
      </c>
      <c r="AD125">
        <f t="shared" si="5"/>
        <v>0</v>
      </c>
      <c r="AE125" t="str">
        <f>IF($B125="","",IF(COUNTIF($B$5:$B125,$B125)=1,1,0))</f>
        <v/>
      </c>
      <c r="AF125" t="str">
        <f>IF(AE125=1,SUM($AE$5:AE125),"")</f>
        <v/>
      </c>
    </row>
    <row r="126" spans="27:32" ht="15" customHeight="1" x14ac:dyDescent="0.35">
      <c r="AA126" t="str">
        <f t="shared" si="3"/>
        <v/>
      </c>
      <c r="AB126" t="str">
        <f>IF($A126="","",IF(OR(Dashboard!$D$4="All",Dashboard!$D$4=$A126),IF(Dashboard!$G$4="All",SUM($C126:$V126),INDEX($C126:$V126,MATCH(Dashboard!$G$4,$C$4:$V$4,0))),0))</f>
        <v/>
      </c>
      <c r="AC126" t="str">
        <f t="shared" si="4"/>
        <v/>
      </c>
      <c r="AD126">
        <f t="shared" si="5"/>
        <v>0</v>
      </c>
      <c r="AE126" t="str">
        <f>IF($B126="","",IF(COUNTIF($B$5:$B126,$B126)=1,1,0))</f>
        <v/>
      </c>
      <c r="AF126" t="str">
        <f>IF(AE126=1,SUM($AE$5:AE126),"")</f>
        <v/>
      </c>
    </row>
    <row r="127" spans="27:32" ht="15" customHeight="1" x14ac:dyDescent="0.35">
      <c r="AA127" t="str">
        <f t="shared" si="3"/>
        <v/>
      </c>
      <c r="AB127" t="str">
        <f>IF($A127="","",IF(OR(Dashboard!$D$4="All",Dashboard!$D$4=$A127),IF(Dashboard!$G$4="All",SUM($C127:$V127),INDEX($C127:$V127,MATCH(Dashboard!$G$4,$C$4:$V$4,0))),0))</f>
        <v/>
      </c>
      <c r="AC127" t="str">
        <f t="shared" si="4"/>
        <v/>
      </c>
      <c r="AD127">
        <f t="shared" si="5"/>
        <v>0</v>
      </c>
      <c r="AE127" t="str">
        <f>IF($B127="","",IF(COUNTIF($B$5:$B127,$B127)=1,1,0))</f>
        <v/>
      </c>
      <c r="AF127" t="str">
        <f>IF(AE127=1,SUM($AE$5:AE127),"")</f>
        <v/>
      </c>
    </row>
    <row r="128" spans="27:32" ht="15" customHeight="1" x14ac:dyDescent="0.35">
      <c r="AA128" t="str">
        <f t="shared" si="3"/>
        <v/>
      </c>
      <c r="AB128" t="str">
        <f>IF($A128="","",IF(OR(Dashboard!$D$4="All",Dashboard!$D$4=$A128),IF(Dashboard!$G$4="All",SUM($C128:$V128),INDEX($C128:$V128,MATCH(Dashboard!$G$4,$C$4:$V$4,0))),0))</f>
        <v/>
      </c>
      <c r="AC128" t="str">
        <f t="shared" si="4"/>
        <v/>
      </c>
      <c r="AD128">
        <f t="shared" si="5"/>
        <v>0</v>
      </c>
      <c r="AE128" t="str">
        <f>IF($B128="","",IF(COUNTIF($B$5:$B128,$B128)=1,1,0))</f>
        <v/>
      </c>
      <c r="AF128" t="str">
        <f>IF(AE128=1,SUM($AE$5:AE128),"")</f>
        <v/>
      </c>
    </row>
    <row r="129" spans="27:32" ht="15" customHeight="1" x14ac:dyDescent="0.35">
      <c r="AA129" t="str">
        <f t="shared" si="3"/>
        <v/>
      </c>
      <c r="AB129" t="str">
        <f>IF($A129="","",IF(OR(Dashboard!$D$4="All",Dashboard!$D$4=$A129),IF(Dashboard!$G$4="All",SUM($C129:$V129),INDEX($C129:$V129,MATCH(Dashboard!$G$4,$C$4:$V$4,0))),0))</f>
        <v/>
      </c>
      <c r="AC129" t="str">
        <f t="shared" si="4"/>
        <v/>
      </c>
      <c r="AD129">
        <f t="shared" si="5"/>
        <v>0</v>
      </c>
      <c r="AE129" t="str">
        <f>IF($B129="","",IF(COUNTIF($B$5:$B129,$B129)=1,1,0))</f>
        <v/>
      </c>
      <c r="AF129" t="str">
        <f>IF(AE129=1,SUM($AE$5:AE129),"")</f>
        <v/>
      </c>
    </row>
    <row r="130" spans="27:32" ht="15" customHeight="1" x14ac:dyDescent="0.35">
      <c r="AA130" t="str">
        <f t="shared" si="3"/>
        <v/>
      </c>
      <c r="AB130" t="str">
        <f>IF($A130="","",IF(OR(Dashboard!$D$4="All",Dashboard!$D$4=$A130),IF(Dashboard!$G$4="All",SUM($C130:$V130),INDEX($C130:$V130,MATCH(Dashboard!$G$4,$C$4:$V$4,0))),0))</f>
        <v/>
      </c>
      <c r="AC130" t="str">
        <f t="shared" si="4"/>
        <v/>
      </c>
      <c r="AD130">
        <f t="shared" si="5"/>
        <v>0</v>
      </c>
      <c r="AE130" t="str">
        <f>IF($B130="","",IF(COUNTIF($B$5:$B130,$B130)=1,1,0))</f>
        <v/>
      </c>
      <c r="AF130" t="str">
        <f>IF(AE130=1,SUM($AE$5:AE130),"")</f>
        <v/>
      </c>
    </row>
    <row r="131" spans="27:32" ht="15" customHeight="1" x14ac:dyDescent="0.35">
      <c r="AA131" t="str">
        <f t="shared" si="3"/>
        <v/>
      </c>
      <c r="AB131" t="str">
        <f>IF($A131="","",IF(OR(Dashboard!$D$4="All",Dashboard!$D$4=$A131),IF(Dashboard!$G$4="All",SUM($C131:$V131),INDEX($C131:$V131,MATCH(Dashboard!$G$4,$C$4:$V$4,0))),0))</f>
        <v/>
      </c>
      <c r="AC131" t="str">
        <f t="shared" si="4"/>
        <v/>
      </c>
      <c r="AD131">
        <f t="shared" si="5"/>
        <v>0</v>
      </c>
      <c r="AE131" t="str">
        <f>IF($B131="","",IF(COUNTIF($B$5:$B131,$B131)=1,1,0))</f>
        <v/>
      </c>
      <c r="AF131" t="str">
        <f>IF(AE131=1,SUM($AE$5:AE131),"")</f>
        <v/>
      </c>
    </row>
    <row r="132" spans="27:32" ht="15" customHeight="1" x14ac:dyDescent="0.35">
      <c r="AA132" t="str">
        <f t="shared" si="3"/>
        <v/>
      </c>
      <c r="AB132" t="str">
        <f>IF($A132="","",IF(OR(Dashboard!$D$4="All",Dashboard!$D$4=$A132),IF(Dashboard!$G$4="All",SUM($C132:$V132),INDEX($C132:$V132,MATCH(Dashboard!$G$4,$C$4:$V$4,0))),0))</f>
        <v/>
      </c>
      <c r="AC132" t="str">
        <f t="shared" si="4"/>
        <v/>
      </c>
      <c r="AD132">
        <f t="shared" si="5"/>
        <v>0</v>
      </c>
      <c r="AE132" t="str">
        <f>IF($B132="","",IF(COUNTIF($B$5:$B132,$B132)=1,1,0))</f>
        <v/>
      </c>
      <c r="AF132" t="str">
        <f>IF(AE132=1,SUM($AE$5:AE132),"")</f>
        <v/>
      </c>
    </row>
    <row r="133" spans="27:32" ht="15" customHeight="1" x14ac:dyDescent="0.35">
      <c r="AA133" t="str">
        <f t="shared" ref="AA133:AA196" si="6">IF($A133="","",SUM($C133:$W133))</f>
        <v/>
      </c>
      <c r="AB133" t="str">
        <f>IF($A133="","",IF(OR(Dashboard!$D$4="All",Dashboard!$D$4=$A133),IF(Dashboard!$G$4="All",SUM($C133:$V133),INDEX($C133:$V133,MATCH(Dashboard!$G$4,$C$4:$V$4,0))),0))</f>
        <v/>
      </c>
      <c r="AC133" t="str">
        <f t="shared" ref="AC133:AC196" si="7">IF(AND($A133&lt;&gt;"",$AB133&gt;0),SUMPRODUCT(($AB$5:$AB$364&gt;0)*(ROW($AB$5:$AB$364)&lt;=ROW($AB133))),"")</f>
        <v/>
      </c>
      <c r="AD133">
        <f t="shared" ref="AD133:AD196" si="8">IF($A133="",0,SUM($C133:$V133))</f>
        <v>0</v>
      </c>
      <c r="AE133" t="str">
        <f>IF($B133="","",IF(COUNTIF($B$5:$B133,$B133)=1,1,0))</f>
        <v/>
      </c>
      <c r="AF133" t="str">
        <f>IF(AE133=1,SUM($AE$5:AE133),"")</f>
        <v/>
      </c>
    </row>
    <row r="134" spans="27:32" ht="15" customHeight="1" x14ac:dyDescent="0.35">
      <c r="AA134" t="str">
        <f t="shared" si="6"/>
        <v/>
      </c>
      <c r="AB134" t="str">
        <f>IF($A134="","",IF(OR(Dashboard!$D$4="All",Dashboard!$D$4=$A134),IF(Dashboard!$G$4="All",SUM($C134:$V134),INDEX($C134:$V134,MATCH(Dashboard!$G$4,$C$4:$V$4,0))),0))</f>
        <v/>
      </c>
      <c r="AC134" t="str">
        <f t="shared" si="7"/>
        <v/>
      </c>
      <c r="AD134">
        <f t="shared" si="8"/>
        <v>0</v>
      </c>
      <c r="AE134" t="str">
        <f>IF($B134="","",IF(COUNTIF($B$5:$B134,$B134)=1,1,0))</f>
        <v/>
      </c>
      <c r="AF134" t="str">
        <f>IF(AE134=1,SUM($AE$5:AE134),"")</f>
        <v/>
      </c>
    </row>
    <row r="135" spans="27:32" ht="15" customHeight="1" x14ac:dyDescent="0.35">
      <c r="AA135" t="str">
        <f t="shared" si="6"/>
        <v/>
      </c>
      <c r="AB135" t="str">
        <f>IF($A135="","",IF(OR(Dashboard!$D$4="All",Dashboard!$D$4=$A135),IF(Dashboard!$G$4="All",SUM($C135:$V135),INDEX($C135:$V135,MATCH(Dashboard!$G$4,$C$4:$V$4,0))),0))</f>
        <v/>
      </c>
      <c r="AC135" t="str">
        <f t="shared" si="7"/>
        <v/>
      </c>
      <c r="AD135">
        <f t="shared" si="8"/>
        <v>0</v>
      </c>
      <c r="AE135" t="str">
        <f>IF($B135="","",IF(COUNTIF($B$5:$B135,$B135)=1,1,0))</f>
        <v/>
      </c>
      <c r="AF135" t="str">
        <f>IF(AE135=1,SUM($AE$5:AE135),"")</f>
        <v/>
      </c>
    </row>
    <row r="136" spans="27:32" ht="15" customHeight="1" x14ac:dyDescent="0.35">
      <c r="AA136" t="str">
        <f t="shared" si="6"/>
        <v/>
      </c>
      <c r="AB136" t="str">
        <f>IF($A136="","",IF(OR(Dashboard!$D$4="All",Dashboard!$D$4=$A136),IF(Dashboard!$G$4="All",SUM($C136:$V136),INDEX($C136:$V136,MATCH(Dashboard!$G$4,$C$4:$V$4,0))),0))</f>
        <v/>
      </c>
      <c r="AC136" t="str">
        <f t="shared" si="7"/>
        <v/>
      </c>
      <c r="AD136">
        <f t="shared" si="8"/>
        <v>0</v>
      </c>
      <c r="AE136" t="str">
        <f>IF($B136="","",IF(COUNTIF($B$5:$B136,$B136)=1,1,0))</f>
        <v/>
      </c>
      <c r="AF136" t="str">
        <f>IF(AE136=1,SUM($AE$5:AE136),"")</f>
        <v/>
      </c>
    </row>
    <row r="137" spans="27:32" ht="15" customHeight="1" x14ac:dyDescent="0.35">
      <c r="AA137" t="str">
        <f t="shared" si="6"/>
        <v/>
      </c>
      <c r="AB137" t="str">
        <f>IF($A137="","",IF(OR(Dashboard!$D$4="All",Dashboard!$D$4=$A137),IF(Dashboard!$G$4="All",SUM($C137:$V137),INDEX($C137:$V137,MATCH(Dashboard!$G$4,$C$4:$V$4,0))),0))</f>
        <v/>
      </c>
      <c r="AC137" t="str">
        <f t="shared" si="7"/>
        <v/>
      </c>
      <c r="AD137">
        <f t="shared" si="8"/>
        <v>0</v>
      </c>
      <c r="AE137" t="str">
        <f>IF($B137="","",IF(COUNTIF($B$5:$B137,$B137)=1,1,0))</f>
        <v/>
      </c>
      <c r="AF137" t="str">
        <f>IF(AE137=1,SUM($AE$5:AE137),"")</f>
        <v/>
      </c>
    </row>
    <row r="138" spans="27:32" ht="15" customHeight="1" x14ac:dyDescent="0.35">
      <c r="AA138" t="str">
        <f t="shared" si="6"/>
        <v/>
      </c>
      <c r="AB138" t="str">
        <f>IF($A138="","",IF(OR(Dashboard!$D$4="All",Dashboard!$D$4=$A138),IF(Dashboard!$G$4="All",SUM($C138:$V138),INDEX($C138:$V138,MATCH(Dashboard!$G$4,$C$4:$V$4,0))),0))</f>
        <v/>
      </c>
      <c r="AC138" t="str">
        <f t="shared" si="7"/>
        <v/>
      </c>
      <c r="AD138">
        <f t="shared" si="8"/>
        <v>0</v>
      </c>
      <c r="AE138" t="str">
        <f>IF($B138="","",IF(COUNTIF($B$5:$B138,$B138)=1,1,0))</f>
        <v/>
      </c>
      <c r="AF138" t="str">
        <f>IF(AE138=1,SUM($AE$5:AE138),"")</f>
        <v/>
      </c>
    </row>
    <row r="139" spans="27:32" ht="15" customHeight="1" x14ac:dyDescent="0.35">
      <c r="AA139" t="str">
        <f t="shared" si="6"/>
        <v/>
      </c>
      <c r="AB139" t="str">
        <f>IF($A139="","",IF(OR(Dashboard!$D$4="All",Dashboard!$D$4=$A139),IF(Dashboard!$G$4="All",SUM($C139:$V139),INDEX($C139:$V139,MATCH(Dashboard!$G$4,$C$4:$V$4,0))),0))</f>
        <v/>
      </c>
      <c r="AC139" t="str">
        <f t="shared" si="7"/>
        <v/>
      </c>
      <c r="AD139">
        <f t="shared" si="8"/>
        <v>0</v>
      </c>
      <c r="AE139" t="str">
        <f>IF($B139="","",IF(COUNTIF($B$5:$B139,$B139)=1,1,0))</f>
        <v/>
      </c>
      <c r="AF139" t="str">
        <f>IF(AE139=1,SUM($AE$5:AE139),"")</f>
        <v/>
      </c>
    </row>
    <row r="140" spans="27:32" ht="15" customHeight="1" x14ac:dyDescent="0.35">
      <c r="AA140" t="str">
        <f t="shared" si="6"/>
        <v/>
      </c>
      <c r="AB140" t="str">
        <f>IF($A140="","",IF(OR(Dashboard!$D$4="All",Dashboard!$D$4=$A140),IF(Dashboard!$G$4="All",SUM($C140:$V140),INDEX($C140:$V140,MATCH(Dashboard!$G$4,$C$4:$V$4,0))),0))</f>
        <v/>
      </c>
      <c r="AC140" t="str">
        <f t="shared" si="7"/>
        <v/>
      </c>
      <c r="AD140">
        <f t="shared" si="8"/>
        <v>0</v>
      </c>
      <c r="AE140" t="str">
        <f>IF($B140="","",IF(COUNTIF($B$5:$B140,$B140)=1,1,0))</f>
        <v/>
      </c>
      <c r="AF140" t="str">
        <f>IF(AE140=1,SUM($AE$5:AE140),"")</f>
        <v/>
      </c>
    </row>
    <row r="141" spans="27:32" ht="15" customHeight="1" x14ac:dyDescent="0.35">
      <c r="AA141" t="str">
        <f t="shared" si="6"/>
        <v/>
      </c>
      <c r="AB141" t="str">
        <f>IF($A141="","",IF(OR(Dashboard!$D$4="All",Dashboard!$D$4=$A141),IF(Dashboard!$G$4="All",SUM($C141:$V141),INDEX($C141:$V141,MATCH(Dashboard!$G$4,$C$4:$V$4,0))),0))</f>
        <v/>
      </c>
      <c r="AC141" t="str">
        <f t="shared" si="7"/>
        <v/>
      </c>
      <c r="AD141">
        <f t="shared" si="8"/>
        <v>0</v>
      </c>
      <c r="AE141" t="str">
        <f>IF($B141="","",IF(COUNTIF($B$5:$B141,$B141)=1,1,0))</f>
        <v/>
      </c>
      <c r="AF141" t="str">
        <f>IF(AE141=1,SUM($AE$5:AE141),"")</f>
        <v/>
      </c>
    </row>
    <row r="142" spans="27:32" ht="15" customHeight="1" x14ac:dyDescent="0.35">
      <c r="AA142" t="str">
        <f t="shared" si="6"/>
        <v/>
      </c>
      <c r="AB142" t="str">
        <f>IF($A142="","",IF(OR(Dashboard!$D$4="All",Dashboard!$D$4=$A142),IF(Dashboard!$G$4="All",SUM($C142:$V142),INDEX($C142:$V142,MATCH(Dashboard!$G$4,$C$4:$V$4,0))),0))</f>
        <v/>
      </c>
      <c r="AC142" t="str">
        <f t="shared" si="7"/>
        <v/>
      </c>
      <c r="AD142">
        <f t="shared" si="8"/>
        <v>0</v>
      </c>
      <c r="AE142" t="str">
        <f>IF($B142="","",IF(COUNTIF($B$5:$B142,$B142)=1,1,0))</f>
        <v/>
      </c>
      <c r="AF142" t="str">
        <f>IF(AE142=1,SUM($AE$5:AE142),"")</f>
        <v/>
      </c>
    </row>
    <row r="143" spans="27:32" ht="15" customHeight="1" x14ac:dyDescent="0.35">
      <c r="AA143" t="str">
        <f t="shared" si="6"/>
        <v/>
      </c>
      <c r="AB143" t="str">
        <f>IF($A143="","",IF(OR(Dashboard!$D$4="All",Dashboard!$D$4=$A143),IF(Dashboard!$G$4="All",SUM($C143:$V143),INDEX($C143:$V143,MATCH(Dashboard!$G$4,$C$4:$V$4,0))),0))</f>
        <v/>
      </c>
      <c r="AC143" t="str">
        <f t="shared" si="7"/>
        <v/>
      </c>
      <c r="AD143">
        <f t="shared" si="8"/>
        <v>0</v>
      </c>
      <c r="AE143" t="str">
        <f>IF($B143="","",IF(COUNTIF($B$5:$B143,$B143)=1,1,0))</f>
        <v/>
      </c>
      <c r="AF143" t="str">
        <f>IF(AE143=1,SUM($AE$5:AE143),"")</f>
        <v/>
      </c>
    </row>
    <row r="144" spans="27:32" ht="15" customHeight="1" x14ac:dyDescent="0.35">
      <c r="AA144" t="str">
        <f t="shared" si="6"/>
        <v/>
      </c>
      <c r="AB144" t="str">
        <f>IF($A144="","",IF(OR(Dashboard!$D$4="All",Dashboard!$D$4=$A144),IF(Dashboard!$G$4="All",SUM($C144:$V144),INDEX($C144:$V144,MATCH(Dashboard!$G$4,$C$4:$V$4,0))),0))</f>
        <v/>
      </c>
      <c r="AC144" t="str">
        <f t="shared" si="7"/>
        <v/>
      </c>
      <c r="AD144">
        <f t="shared" si="8"/>
        <v>0</v>
      </c>
      <c r="AE144" t="str">
        <f>IF($B144="","",IF(COUNTIF($B$5:$B144,$B144)=1,1,0))</f>
        <v/>
      </c>
      <c r="AF144" t="str">
        <f>IF(AE144=1,SUM($AE$5:AE144),"")</f>
        <v/>
      </c>
    </row>
    <row r="145" spans="27:32" ht="15" customHeight="1" x14ac:dyDescent="0.35">
      <c r="AA145" t="str">
        <f t="shared" si="6"/>
        <v/>
      </c>
      <c r="AB145" t="str">
        <f>IF($A145="","",IF(OR(Dashboard!$D$4="All",Dashboard!$D$4=$A145),IF(Dashboard!$G$4="All",SUM($C145:$V145),INDEX($C145:$V145,MATCH(Dashboard!$G$4,$C$4:$V$4,0))),0))</f>
        <v/>
      </c>
      <c r="AC145" t="str">
        <f t="shared" si="7"/>
        <v/>
      </c>
      <c r="AD145">
        <f t="shared" si="8"/>
        <v>0</v>
      </c>
      <c r="AE145" t="str">
        <f>IF($B145="","",IF(COUNTIF($B$5:$B145,$B145)=1,1,0))</f>
        <v/>
      </c>
      <c r="AF145" t="str">
        <f>IF(AE145=1,SUM($AE$5:AE145),"")</f>
        <v/>
      </c>
    </row>
    <row r="146" spans="27:32" ht="15" customHeight="1" x14ac:dyDescent="0.35">
      <c r="AA146" t="str">
        <f t="shared" si="6"/>
        <v/>
      </c>
      <c r="AB146" t="str">
        <f>IF($A146="","",IF(OR(Dashboard!$D$4="All",Dashboard!$D$4=$A146),IF(Dashboard!$G$4="All",SUM($C146:$V146),INDEX($C146:$V146,MATCH(Dashboard!$G$4,$C$4:$V$4,0))),0))</f>
        <v/>
      </c>
      <c r="AC146" t="str">
        <f t="shared" si="7"/>
        <v/>
      </c>
      <c r="AD146">
        <f t="shared" si="8"/>
        <v>0</v>
      </c>
      <c r="AE146" t="str">
        <f>IF($B146="","",IF(COUNTIF($B$5:$B146,$B146)=1,1,0))</f>
        <v/>
      </c>
      <c r="AF146" t="str">
        <f>IF(AE146=1,SUM($AE$5:AE146),"")</f>
        <v/>
      </c>
    </row>
    <row r="147" spans="27:32" ht="15" customHeight="1" x14ac:dyDescent="0.35">
      <c r="AA147" t="str">
        <f t="shared" si="6"/>
        <v/>
      </c>
      <c r="AB147" t="str">
        <f>IF($A147="","",IF(OR(Dashboard!$D$4="All",Dashboard!$D$4=$A147),IF(Dashboard!$G$4="All",SUM($C147:$V147),INDEX($C147:$V147,MATCH(Dashboard!$G$4,$C$4:$V$4,0))),0))</f>
        <v/>
      </c>
      <c r="AC147" t="str">
        <f t="shared" si="7"/>
        <v/>
      </c>
      <c r="AD147">
        <f t="shared" si="8"/>
        <v>0</v>
      </c>
      <c r="AE147" t="str">
        <f>IF($B147="","",IF(COUNTIF($B$5:$B147,$B147)=1,1,0))</f>
        <v/>
      </c>
      <c r="AF147" t="str">
        <f>IF(AE147=1,SUM($AE$5:AE147),"")</f>
        <v/>
      </c>
    </row>
    <row r="148" spans="27:32" ht="15" customHeight="1" x14ac:dyDescent="0.35">
      <c r="AA148" t="str">
        <f t="shared" si="6"/>
        <v/>
      </c>
      <c r="AB148" t="str">
        <f>IF($A148="","",IF(OR(Dashboard!$D$4="All",Dashboard!$D$4=$A148),IF(Dashboard!$G$4="All",SUM($C148:$V148),INDEX($C148:$V148,MATCH(Dashboard!$G$4,$C$4:$V$4,0))),0))</f>
        <v/>
      </c>
      <c r="AC148" t="str">
        <f t="shared" si="7"/>
        <v/>
      </c>
      <c r="AD148">
        <f t="shared" si="8"/>
        <v>0</v>
      </c>
      <c r="AE148" t="str">
        <f>IF($B148="","",IF(COUNTIF($B$5:$B148,$B148)=1,1,0))</f>
        <v/>
      </c>
      <c r="AF148" t="str">
        <f>IF(AE148=1,SUM($AE$5:AE148),"")</f>
        <v/>
      </c>
    </row>
    <row r="149" spans="27:32" ht="15" customHeight="1" x14ac:dyDescent="0.35">
      <c r="AA149" t="str">
        <f t="shared" si="6"/>
        <v/>
      </c>
      <c r="AB149" t="str">
        <f>IF($A149="","",IF(OR(Dashboard!$D$4="All",Dashboard!$D$4=$A149),IF(Dashboard!$G$4="All",SUM($C149:$V149),INDEX($C149:$V149,MATCH(Dashboard!$G$4,$C$4:$V$4,0))),0))</f>
        <v/>
      </c>
      <c r="AC149" t="str">
        <f t="shared" si="7"/>
        <v/>
      </c>
      <c r="AD149">
        <f t="shared" si="8"/>
        <v>0</v>
      </c>
      <c r="AE149" t="str">
        <f>IF($B149="","",IF(COUNTIF($B$5:$B149,$B149)=1,1,0))</f>
        <v/>
      </c>
      <c r="AF149" t="str">
        <f>IF(AE149=1,SUM($AE$5:AE149),"")</f>
        <v/>
      </c>
    </row>
    <row r="150" spans="27:32" ht="15" customHeight="1" x14ac:dyDescent="0.35">
      <c r="AA150" t="str">
        <f t="shared" si="6"/>
        <v/>
      </c>
      <c r="AB150" t="str">
        <f>IF($A150="","",IF(OR(Dashboard!$D$4="All",Dashboard!$D$4=$A150),IF(Dashboard!$G$4="All",SUM($C150:$V150),INDEX($C150:$V150,MATCH(Dashboard!$G$4,$C$4:$V$4,0))),0))</f>
        <v/>
      </c>
      <c r="AC150" t="str">
        <f t="shared" si="7"/>
        <v/>
      </c>
      <c r="AD150">
        <f t="shared" si="8"/>
        <v>0</v>
      </c>
      <c r="AE150" t="str">
        <f>IF($B150="","",IF(COUNTIF($B$5:$B150,$B150)=1,1,0))</f>
        <v/>
      </c>
      <c r="AF150" t="str">
        <f>IF(AE150=1,SUM($AE$5:AE150),"")</f>
        <v/>
      </c>
    </row>
    <row r="151" spans="27:32" ht="15" customHeight="1" x14ac:dyDescent="0.35">
      <c r="AA151" t="str">
        <f t="shared" si="6"/>
        <v/>
      </c>
      <c r="AB151" t="str">
        <f>IF($A151="","",IF(OR(Dashboard!$D$4="All",Dashboard!$D$4=$A151),IF(Dashboard!$G$4="All",SUM($C151:$V151),INDEX($C151:$V151,MATCH(Dashboard!$G$4,$C$4:$V$4,0))),0))</f>
        <v/>
      </c>
      <c r="AC151" t="str">
        <f t="shared" si="7"/>
        <v/>
      </c>
      <c r="AD151">
        <f t="shared" si="8"/>
        <v>0</v>
      </c>
      <c r="AE151" t="str">
        <f>IF($B151="","",IF(COUNTIF($B$5:$B151,$B151)=1,1,0))</f>
        <v/>
      </c>
      <c r="AF151" t="str">
        <f>IF(AE151=1,SUM($AE$5:AE151),"")</f>
        <v/>
      </c>
    </row>
    <row r="152" spans="27:32" ht="15" customHeight="1" x14ac:dyDescent="0.35">
      <c r="AA152" t="str">
        <f t="shared" si="6"/>
        <v/>
      </c>
      <c r="AB152" t="str">
        <f>IF($A152="","",IF(OR(Dashboard!$D$4="All",Dashboard!$D$4=$A152),IF(Dashboard!$G$4="All",SUM($C152:$V152),INDEX($C152:$V152,MATCH(Dashboard!$G$4,$C$4:$V$4,0))),0))</f>
        <v/>
      </c>
      <c r="AC152" t="str">
        <f t="shared" si="7"/>
        <v/>
      </c>
      <c r="AD152">
        <f t="shared" si="8"/>
        <v>0</v>
      </c>
      <c r="AE152" t="str">
        <f>IF($B152="","",IF(COUNTIF($B$5:$B152,$B152)=1,1,0))</f>
        <v/>
      </c>
      <c r="AF152" t="str">
        <f>IF(AE152=1,SUM($AE$5:AE152),"")</f>
        <v/>
      </c>
    </row>
    <row r="153" spans="27:32" ht="15" customHeight="1" x14ac:dyDescent="0.35">
      <c r="AA153" t="str">
        <f t="shared" si="6"/>
        <v/>
      </c>
      <c r="AB153" t="str">
        <f>IF($A153="","",IF(OR(Dashboard!$D$4="All",Dashboard!$D$4=$A153),IF(Dashboard!$G$4="All",SUM($C153:$V153),INDEX($C153:$V153,MATCH(Dashboard!$G$4,$C$4:$V$4,0))),0))</f>
        <v/>
      </c>
      <c r="AC153" t="str">
        <f t="shared" si="7"/>
        <v/>
      </c>
      <c r="AD153">
        <f t="shared" si="8"/>
        <v>0</v>
      </c>
      <c r="AE153" t="str">
        <f>IF($B153="","",IF(COUNTIF($B$5:$B153,$B153)=1,1,0))</f>
        <v/>
      </c>
      <c r="AF153" t="str">
        <f>IF(AE153=1,SUM($AE$5:AE153),"")</f>
        <v/>
      </c>
    </row>
    <row r="154" spans="27:32" ht="15" customHeight="1" x14ac:dyDescent="0.35">
      <c r="AA154" t="str">
        <f t="shared" si="6"/>
        <v/>
      </c>
      <c r="AB154" t="str">
        <f>IF($A154="","",IF(OR(Dashboard!$D$4="All",Dashboard!$D$4=$A154),IF(Dashboard!$G$4="All",SUM($C154:$V154),INDEX($C154:$V154,MATCH(Dashboard!$G$4,$C$4:$V$4,0))),0))</f>
        <v/>
      </c>
      <c r="AC154" t="str">
        <f t="shared" si="7"/>
        <v/>
      </c>
      <c r="AD154">
        <f t="shared" si="8"/>
        <v>0</v>
      </c>
      <c r="AE154" t="str">
        <f>IF($B154="","",IF(COUNTIF($B$5:$B154,$B154)=1,1,0))</f>
        <v/>
      </c>
      <c r="AF154" t="str">
        <f>IF(AE154=1,SUM($AE$5:AE154),"")</f>
        <v/>
      </c>
    </row>
    <row r="155" spans="27:32" ht="15" customHeight="1" x14ac:dyDescent="0.35">
      <c r="AA155" t="str">
        <f t="shared" si="6"/>
        <v/>
      </c>
      <c r="AB155" t="str">
        <f>IF($A155="","",IF(OR(Dashboard!$D$4="All",Dashboard!$D$4=$A155),IF(Dashboard!$G$4="All",SUM($C155:$V155),INDEX($C155:$V155,MATCH(Dashboard!$G$4,$C$4:$V$4,0))),0))</f>
        <v/>
      </c>
      <c r="AC155" t="str">
        <f t="shared" si="7"/>
        <v/>
      </c>
      <c r="AD155">
        <f t="shared" si="8"/>
        <v>0</v>
      </c>
      <c r="AE155" t="str">
        <f>IF($B155="","",IF(COUNTIF($B$5:$B155,$B155)=1,1,0))</f>
        <v/>
      </c>
      <c r="AF155" t="str">
        <f>IF(AE155=1,SUM($AE$5:AE155),"")</f>
        <v/>
      </c>
    </row>
    <row r="156" spans="27:32" ht="15" customHeight="1" x14ac:dyDescent="0.35">
      <c r="AA156" t="str">
        <f t="shared" si="6"/>
        <v/>
      </c>
      <c r="AB156" t="str">
        <f>IF($A156="","",IF(OR(Dashboard!$D$4="All",Dashboard!$D$4=$A156),IF(Dashboard!$G$4="All",SUM($C156:$V156),INDEX($C156:$V156,MATCH(Dashboard!$G$4,$C$4:$V$4,0))),0))</f>
        <v/>
      </c>
      <c r="AC156" t="str">
        <f t="shared" si="7"/>
        <v/>
      </c>
      <c r="AD156">
        <f t="shared" si="8"/>
        <v>0</v>
      </c>
      <c r="AE156" t="str">
        <f>IF($B156="","",IF(COUNTIF($B$5:$B156,$B156)=1,1,0))</f>
        <v/>
      </c>
      <c r="AF156" t="str">
        <f>IF(AE156=1,SUM($AE$5:AE156),"")</f>
        <v/>
      </c>
    </row>
    <row r="157" spans="27:32" ht="15" customHeight="1" x14ac:dyDescent="0.35">
      <c r="AA157" t="str">
        <f t="shared" si="6"/>
        <v/>
      </c>
      <c r="AB157" t="str">
        <f>IF($A157="","",IF(OR(Dashboard!$D$4="All",Dashboard!$D$4=$A157),IF(Dashboard!$G$4="All",SUM($C157:$V157),INDEX($C157:$V157,MATCH(Dashboard!$G$4,$C$4:$V$4,0))),0))</f>
        <v/>
      </c>
      <c r="AC157" t="str">
        <f t="shared" si="7"/>
        <v/>
      </c>
      <c r="AD157">
        <f t="shared" si="8"/>
        <v>0</v>
      </c>
      <c r="AE157" t="str">
        <f>IF($B157="","",IF(COUNTIF($B$5:$B157,$B157)=1,1,0))</f>
        <v/>
      </c>
      <c r="AF157" t="str">
        <f>IF(AE157=1,SUM($AE$5:AE157),"")</f>
        <v/>
      </c>
    </row>
    <row r="158" spans="27:32" ht="15" customHeight="1" x14ac:dyDescent="0.35">
      <c r="AA158" t="str">
        <f t="shared" si="6"/>
        <v/>
      </c>
      <c r="AB158" t="str">
        <f>IF($A158="","",IF(OR(Dashboard!$D$4="All",Dashboard!$D$4=$A158),IF(Dashboard!$G$4="All",SUM($C158:$V158),INDEX($C158:$V158,MATCH(Dashboard!$G$4,$C$4:$V$4,0))),0))</f>
        <v/>
      </c>
      <c r="AC158" t="str">
        <f t="shared" si="7"/>
        <v/>
      </c>
      <c r="AD158">
        <f t="shared" si="8"/>
        <v>0</v>
      </c>
      <c r="AE158" t="str">
        <f>IF($B158="","",IF(COUNTIF($B$5:$B158,$B158)=1,1,0))</f>
        <v/>
      </c>
      <c r="AF158" t="str">
        <f>IF(AE158=1,SUM($AE$5:AE158),"")</f>
        <v/>
      </c>
    </row>
    <row r="159" spans="27:32" ht="15" customHeight="1" x14ac:dyDescent="0.35">
      <c r="AA159" t="str">
        <f t="shared" si="6"/>
        <v/>
      </c>
      <c r="AB159" t="str">
        <f>IF($A159="","",IF(OR(Dashboard!$D$4="All",Dashboard!$D$4=$A159),IF(Dashboard!$G$4="All",SUM($C159:$V159),INDEX($C159:$V159,MATCH(Dashboard!$G$4,$C$4:$V$4,0))),0))</f>
        <v/>
      </c>
      <c r="AC159" t="str">
        <f t="shared" si="7"/>
        <v/>
      </c>
      <c r="AD159">
        <f t="shared" si="8"/>
        <v>0</v>
      </c>
      <c r="AE159" t="str">
        <f>IF($B159="","",IF(COUNTIF($B$5:$B159,$B159)=1,1,0))</f>
        <v/>
      </c>
      <c r="AF159" t="str">
        <f>IF(AE159=1,SUM($AE$5:AE159),"")</f>
        <v/>
      </c>
    </row>
    <row r="160" spans="27:32" ht="15" customHeight="1" x14ac:dyDescent="0.35">
      <c r="AA160" t="str">
        <f t="shared" si="6"/>
        <v/>
      </c>
      <c r="AB160" t="str">
        <f>IF($A160="","",IF(OR(Dashboard!$D$4="All",Dashboard!$D$4=$A160),IF(Dashboard!$G$4="All",SUM($C160:$V160),INDEX($C160:$V160,MATCH(Dashboard!$G$4,$C$4:$V$4,0))),0))</f>
        <v/>
      </c>
      <c r="AC160" t="str">
        <f t="shared" si="7"/>
        <v/>
      </c>
      <c r="AD160">
        <f t="shared" si="8"/>
        <v>0</v>
      </c>
      <c r="AE160" t="str">
        <f>IF($B160="","",IF(COUNTIF($B$5:$B160,$B160)=1,1,0))</f>
        <v/>
      </c>
      <c r="AF160" t="str">
        <f>IF(AE160=1,SUM($AE$5:AE160),"")</f>
        <v/>
      </c>
    </row>
    <row r="161" spans="27:32" ht="15" customHeight="1" x14ac:dyDescent="0.35">
      <c r="AA161" t="str">
        <f t="shared" si="6"/>
        <v/>
      </c>
      <c r="AB161" t="str">
        <f>IF($A161="","",IF(OR(Dashboard!$D$4="All",Dashboard!$D$4=$A161),IF(Dashboard!$G$4="All",SUM($C161:$V161),INDEX($C161:$V161,MATCH(Dashboard!$G$4,$C$4:$V$4,0))),0))</f>
        <v/>
      </c>
      <c r="AC161" t="str">
        <f t="shared" si="7"/>
        <v/>
      </c>
      <c r="AD161">
        <f t="shared" si="8"/>
        <v>0</v>
      </c>
      <c r="AE161" t="str">
        <f>IF($B161="","",IF(COUNTIF($B$5:$B161,$B161)=1,1,0))</f>
        <v/>
      </c>
      <c r="AF161" t="str">
        <f>IF(AE161=1,SUM($AE$5:AE161),"")</f>
        <v/>
      </c>
    </row>
    <row r="162" spans="27:32" ht="15" customHeight="1" x14ac:dyDescent="0.35">
      <c r="AA162" t="str">
        <f t="shared" si="6"/>
        <v/>
      </c>
      <c r="AB162" t="str">
        <f>IF($A162="","",IF(OR(Dashboard!$D$4="All",Dashboard!$D$4=$A162),IF(Dashboard!$G$4="All",SUM($C162:$V162),INDEX($C162:$V162,MATCH(Dashboard!$G$4,$C$4:$V$4,0))),0))</f>
        <v/>
      </c>
      <c r="AC162" t="str">
        <f t="shared" si="7"/>
        <v/>
      </c>
      <c r="AD162">
        <f t="shared" si="8"/>
        <v>0</v>
      </c>
      <c r="AE162" t="str">
        <f>IF($B162="","",IF(COUNTIF($B$5:$B162,$B162)=1,1,0))</f>
        <v/>
      </c>
      <c r="AF162" t="str">
        <f>IF(AE162=1,SUM($AE$5:AE162),"")</f>
        <v/>
      </c>
    </row>
    <row r="163" spans="27:32" ht="15" customHeight="1" x14ac:dyDescent="0.35">
      <c r="AA163" t="str">
        <f t="shared" si="6"/>
        <v/>
      </c>
      <c r="AB163" t="str">
        <f>IF($A163="","",IF(OR(Dashboard!$D$4="All",Dashboard!$D$4=$A163),IF(Dashboard!$G$4="All",SUM($C163:$V163),INDEX($C163:$V163,MATCH(Dashboard!$G$4,$C$4:$V$4,0))),0))</f>
        <v/>
      </c>
      <c r="AC163" t="str">
        <f t="shared" si="7"/>
        <v/>
      </c>
      <c r="AD163">
        <f t="shared" si="8"/>
        <v>0</v>
      </c>
      <c r="AE163" t="str">
        <f>IF($B163="","",IF(COUNTIF($B$5:$B163,$B163)=1,1,0))</f>
        <v/>
      </c>
      <c r="AF163" t="str">
        <f>IF(AE163=1,SUM($AE$5:AE163),"")</f>
        <v/>
      </c>
    </row>
    <row r="164" spans="27:32" ht="15" customHeight="1" x14ac:dyDescent="0.35">
      <c r="AA164" t="str">
        <f t="shared" si="6"/>
        <v/>
      </c>
      <c r="AB164" t="str">
        <f>IF($A164="","",IF(OR(Dashboard!$D$4="All",Dashboard!$D$4=$A164),IF(Dashboard!$G$4="All",SUM($C164:$V164),INDEX($C164:$V164,MATCH(Dashboard!$G$4,$C$4:$V$4,0))),0))</f>
        <v/>
      </c>
      <c r="AC164" t="str">
        <f t="shared" si="7"/>
        <v/>
      </c>
      <c r="AD164">
        <f t="shared" si="8"/>
        <v>0</v>
      </c>
      <c r="AE164" t="str">
        <f>IF($B164="","",IF(COUNTIF($B$5:$B164,$B164)=1,1,0))</f>
        <v/>
      </c>
      <c r="AF164" t="str">
        <f>IF(AE164=1,SUM($AE$5:AE164),"")</f>
        <v/>
      </c>
    </row>
    <row r="165" spans="27:32" ht="15" customHeight="1" x14ac:dyDescent="0.35">
      <c r="AA165" t="str">
        <f t="shared" si="6"/>
        <v/>
      </c>
      <c r="AB165" t="str">
        <f>IF($A165="","",IF(OR(Dashboard!$D$4="All",Dashboard!$D$4=$A165),IF(Dashboard!$G$4="All",SUM($C165:$V165),INDEX($C165:$V165,MATCH(Dashboard!$G$4,$C$4:$V$4,0))),0))</f>
        <v/>
      </c>
      <c r="AC165" t="str">
        <f t="shared" si="7"/>
        <v/>
      </c>
      <c r="AD165">
        <f t="shared" si="8"/>
        <v>0</v>
      </c>
      <c r="AE165" t="str">
        <f>IF($B165="","",IF(COUNTIF($B$5:$B165,$B165)=1,1,0))</f>
        <v/>
      </c>
      <c r="AF165" t="str">
        <f>IF(AE165=1,SUM($AE$5:AE165),"")</f>
        <v/>
      </c>
    </row>
    <row r="166" spans="27:32" ht="15" customHeight="1" x14ac:dyDescent="0.35">
      <c r="AA166" t="str">
        <f t="shared" si="6"/>
        <v/>
      </c>
      <c r="AB166" t="str">
        <f>IF($A166="","",IF(OR(Dashboard!$D$4="All",Dashboard!$D$4=$A166),IF(Dashboard!$G$4="All",SUM($C166:$V166),INDEX($C166:$V166,MATCH(Dashboard!$G$4,$C$4:$V$4,0))),0))</f>
        <v/>
      </c>
      <c r="AC166" t="str">
        <f t="shared" si="7"/>
        <v/>
      </c>
      <c r="AD166">
        <f t="shared" si="8"/>
        <v>0</v>
      </c>
      <c r="AE166" t="str">
        <f>IF($B166="","",IF(COUNTIF($B$5:$B166,$B166)=1,1,0))</f>
        <v/>
      </c>
      <c r="AF166" t="str">
        <f>IF(AE166=1,SUM($AE$5:AE166),"")</f>
        <v/>
      </c>
    </row>
    <row r="167" spans="27:32" ht="15" customHeight="1" x14ac:dyDescent="0.35">
      <c r="AA167" t="str">
        <f t="shared" si="6"/>
        <v/>
      </c>
      <c r="AB167" t="str">
        <f>IF($A167="","",IF(OR(Dashboard!$D$4="All",Dashboard!$D$4=$A167),IF(Dashboard!$G$4="All",SUM($C167:$V167),INDEX($C167:$V167,MATCH(Dashboard!$G$4,$C$4:$V$4,0))),0))</f>
        <v/>
      </c>
      <c r="AC167" t="str">
        <f t="shared" si="7"/>
        <v/>
      </c>
      <c r="AD167">
        <f t="shared" si="8"/>
        <v>0</v>
      </c>
      <c r="AE167" t="str">
        <f>IF($B167="","",IF(COUNTIF($B$5:$B167,$B167)=1,1,0))</f>
        <v/>
      </c>
      <c r="AF167" t="str">
        <f>IF(AE167=1,SUM($AE$5:AE167),"")</f>
        <v/>
      </c>
    </row>
    <row r="168" spans="27:32" ht="15" customHeight="1" x14ac:dyDescent="0.35">
      <c r="AA168" t="str">
        <f t="shared" si="6"/>
        <v/>
      </c>
      <c r="AB168" t="str">
        <f>IF($A168="","",IF(OR(Dashboard!$D$4="All",Dashboard!$D$4=$A168),IF(Dashboard!$G$4="All",SUM($C168:$V168),INDEX($C168:$V168,MATCH(Dashboard!$G$4,$C$4:$V$4,0))),0))</f>
        <v/>
      </c>
      <c r="AC168" t="str">
        <f t="shared" si="7"/>
        <v/>
      </c>
      <c r="AD168">
        <f t="shared" si="8"/>
        <v>0</v>
      </c>
      <c r="AE168" t="str">
        <f>IF($B168="","",IF(COUNTIF($B$5:$B168,$B168)=1,1,0))</f>
        <v/>
      </c>
      <c r="AF168" t="str">
        <f>IF(AE168=1,SUM($AE$5:AE168),"")</f>
        <v/>
      </c>
    </row>
    <row r="169" spans="27:32" ht="15" customHeight="1" x14ac:dyDescent="0.35">
      <c r="AA169" t="str">
        <f t="shared" si="6"/>
        <v/>
      </c>
      <c r="AB169" t="str">
        <f>IF($A169="","",IF(OR(Dashboard!$D$4="All",Dashboard!$D$4=$A169),IF(Dashboard!$G$4="All",SUM($C169:$V169),INDEX($C169:$V169,MATCH(Dashboard!$G$4,$C$4:$V$4,0))),0))</f>
        <v/>
      </c>
      <c r="AC169" t="str">
        <f t="shared" si="7"/>
        <v/>
      </c>
      <c r="AD169">
        <f t="shared" si="8"/>
        <v>0</v>
      </c>
      <c r="AE169" t="str">
        <f>IF($B169="","",IF(COUNTIF($B$5:$B169,$B169)=1,1,0))</f>
        <v/>
      </c>
      <c r="AF169" t="str">
        <f>IF(AE169=1,SUM($AE$5:AE169),"")</f>
        <v/>
      </c>
    </row>
    <row r="170" spans="27:32" ht="15" customHeight="1" x14ac:dyDescent="0.35">
      <c r="AA170" t="str">
        <f t="shared" si="6"/>
        <v/>
      </c>
      <c r="AB170" t="str">
        <f>IF($A170="","",IF(OR(Dashboard!$D$4="All",Dashboard!$D$4=$A170),IF(Dashboard!$G$4="All",SUM($C170:$V170),INDEX($C170:$V170,MATCH(Dashboard!$G$4,$C$4:$V$4,0))),0))</f>
        <v/>
      </c>
      <c r="AC170" t="str">
        <f t="shared" si="7"/>
        <v/>
      </c>
      <c r="AD170">
        <f t="shared" si="8"/>
        <v>0</v>
      </c>
      <c r="AE170" t="str">
        <f>IF($B170="","",IF(COUNTIF($B$5:$B170,$B170)=1,1,0))</f>
        <v/>
      </c>
      <c r="AF170" t="str">
        <f>IF(AE170=1,SUM($AE$5:AE170),"")</f>
        <v/>
      </c>
    </row>
    <row r="171" spans="27:32" ht="15" customHeight="1" x14ac:dyDescent="0.35">
      <c r="AA171" t="str">
        <f t="shared" si="6"/>
        <v/>
      </c>
      <c r="AB171" t="str">
        <f>IF($A171="","",IF(OR(Dashboard!$D$4="All",Dashboard!$D$4=$A171),IF(Dashboard!$G$4="All",SUM($C171:$V171),INDEX($C171:$V171,MATCH(Dashboard!$G$4,$C$4:$V$4,0))),0))</f>
        <v/>
      </c>
      <c r="AC171" t="str">
        <f t="shared" si="7"/>
        <v/>
      </c>
      <c r="AD171">
        <f t="shared" si="8"/>
        <v>0</v>
      </c>
      <c r="AE171" t="str">
        <f>IF($B171="","",IF(COUNTIF($B$5:$B171,$B171)=1,1,0))</f>
        <v/>
      </c>
      <c r="AF171" t="str">
        <f>IF(AE171=1,SUM($AE$5:AE171),"")</f>
        <v/>
      </c>
    </row>
    <row r="172" spans="27:32" ht="15" customHeight="1" x14ac:dyDescent="0.35">
      <c r="AA172" t="str">
        <f t="shared" si="6"/>
        <v/>
      </c>
      <c r="AB172" t="str">
        <f>IF($A172="","",IF(OR(Dashboard!$D$4="All",Dashboard!$D$4=$A172),IF(Dashboard!$G$4="All",SUM($C172:$V172),INDEX($C172:$V172,MATCH(Dashboard!$G$4,$C$4:$V$4,0))),0))</f>
        <v/>
      </c>
      <c r="AC172" t="str">
        <f t="shared" si="7"/>
        <v/>
      </c>
      <c r="AD172">
        <f t="shared" si="8"/>
        <v>0</v>
      </c>
      <c r="AE172" t="str">
        <f>IF($B172="","",IF(COUNTIF($B$5:$B172,$B172)=1,1,0))</f>
        <v/>
      </c>
      <c r="AF172" t="str">
        <f>IF(AE172=1,SUM($AE$5:AE172),"")</f>
        <v/>
      </c>
    </row>
    <row r="173" spans="27:32" ht="15" customHeight="1" x14ac:dyDescent="0.35">
      <c r="AA173" t="str">
        <f t="shared" si="6"/>
        <v/>
      </c>
      <c r="AB173" t="str">
        <f>IF($A173="","",IF(OR(Dashboard!$D$4="All",Dashboard!$D$4=$A173),IF(Dashboard!$G$4="All",SUM($C173:$V173),INDEX($C173:$V173,MATCH(Dashboard!$G$4,$C$4:$V$4,0))),0))</f>
        <v/>
      </c>
      <c r="AC173" t="str">
        <f t="shared" si="7"/>
        <v/>
      </c>
      <c r="AD173">
        <f t="shared" si="8"/>
        <v>0</v>
      </c>
      <c r="AE173" t="str">
        <f>IF($B173="","",IF(COUNTIF($B$5:$B173,$B173)=1,1,0))</f>
        <v/>
      </c>
      <c r="AF173" t="str">
        <f>IF(AE173=1,SUM($AE$5:AE173),"")</f>
        <v/>
      </c>
    </row>
    <row r="174" spans="27:32" ht="15" customHeight="1" x14ac:dyDescent="0.35">
      <c r="AA174" t="str">
        <f t="shared" si="6"/>
        <v/>
      </c>
      <c r="AB174" t="str">
        <f>IF($A174="","",IF(OR(Dashboard!$D$4="All",Dashboard!$D$4=$A174),IF(Dashboard!$G$4="All",SUM($C174:$V174),INDEX($C174:$V174,MATCH(Dashboard!$G$4,$C$4:$V$4,0))),0))</f>
        <v/>
      </c>
      <c r="AC174" t="str">
        <f t="shared" si="7"/>
        <v/>
      </c>
      <c r="AD174">
        <f t="shared" si="8"/>
        <v>0</v>
      </c>
      <c r="AE174" t="str">
        <f>IF($B174="","",IF(COUNTIF($B$5:$B174,$B174)=1,1,0))</f>
        <v/>
      </c>
      <c r="AF174" t="str">
        <f>IF(AE174=1,SUM($AE$5:AE174),"")</f>
        <v/>
      </c>
    </row>
    <row r="175" spans="27:32" ht="15" customHeight="1" x14ac:dyDescent="0.35">
      <c r="AA175" t="str">
        <f t="shared" si="6"/>
        <v/>
      </c>
      <c r="AB175" t="str">
        <f>IF($A175="","",IF(OR(Dashboard!$D$4="All",Dashboard!$D$4=$A175),IF(Dashboard!$G$4="All",SUM($C175:$V175),INDEX($C175:$V175,MATCH(Dashboard!$G$4,$C$4:$V$4,0))),0))</f>
        <v/>
      </c>
      <c r="AC175" t="str">
        <f t="shared" si="7"/>
        <v/>
      </c>
      <c r="AD175">
        <f t="shared" si="8"/>
        <v>0</v>
      </c>
      <c r="AE175" t="str">
        <f>IF($B175="","",IF(COUNTIF($B$5:$B175,$B175)=1,1,0))</f>
        <v/>
      </c>
      <c r="AF175" t="str">
        <f>IF(AE175=1,SUM($AE$5:AE175),"")</f>
        <v/>
      </c>
    </row>
    <row r="176" spans="27:32" ht="15" customHeight="1" x14ac:dyDescent="0.35">
      <c r="AA176" t="str">
        <f t="shared" si="6"/>
        <v/>
      </c>
      <c r="AB176" t="str">
        <f>IF($A176="","",IF(OR(Dashboard!$D$4="All",Dashboard!$D$4=$A176),IF(Dashboard!$G$4="All",SUM($C176:$V176),INDEX($C176:$V176,MATCH(Dashboard!$G$4,$C$4:$V$4,0))),0))</f>
        <v/>
      </c>
      <c r="AC176" t="str">
        <f t="shared" si="7"/>
        <v/>
      </c>
      <c r="AD176">
        <f t="shared" si="8"/>
        <v>0</v>
      </c>
      <c r="AE176" t="str">
        <f>IF($B176="","",IF(COUNTIF($B$5:$B176,$B176)=1,1,0))</f>
        <v/>
      </c>
      <c r="AF176" t="str">
        <f>IF(AE176=1,SUM($AE$5:AE176),"")</f>
        <v/>
      </c>
    </row>
    <row r="177" spans="27:32" ht="15" customHeight="1" x14ac:dyDescent="0.35">
      <c r="AA177" t="str">
        <f t="shared" si="6"/>
        <v/>
      </c>
      <c r="AB177" t="str">
        <f>IF($A177="","",IF(OR(Dashboard!$D$4="All",Dashboard!$D$4=$A177),IF(Dashboard!$G$4="All",SUM($C177:$V177),INDEX($C177:$V177,MATCH(Dashboard!$G$4,$C$4:$V$4,0))),0))</f>
        <v/>
      </c>
      <c r="AC177" t="str">
        <f t="shared" si="7"/>
        <v/>
      </c>
      <c r="AD177">
        <f t="shared" si="8"/>
        <v>0</v>
      </c>
      <c r="AE177" t="str">
        <f>IF($B177="","",IF(COUNTIF($B$5:$B177,$B177)=1,1,0))</f>
        <v/>
      </c>
      <c r="AF177" t="str">
        <f>IF(AE177=1,SUM($AE$5:AE177),"")</f>
        <v/>
      </c>
    </row>
    <row r="178" spans="27:32" ht="15" customHeight="1" x14ac:dyDescent="0.35">
      <c r="AA178" t="str">
        <f t="shared" si="6"/>
        <v/>
      </c>
      <c r="AB178" t="str">
        <f>IF($A178="","",IF(OR(Dashboard!$D$4="All",Dashboard!$D$4=$A178),IF(Dashboard!$G$4="All",SUM($C178:$V178),INDEX($C178:$V178,MATCH(Dashboard!$G$4,$C$4:$V$4,0))),0))</f>
        <v/>
      </c>
      <c r="AC178" t="str">
        <f t="shared" si="7"/>
        <v/>
      </c>
      <c r="AD178">
        <f t="shared" si="8"/>
        <v>0</v>
      </c>
      <c r="AE178" t="str">
        <f>IF($B178="","",IF(COUNTIF($B$5:$B178,$B178)=1,1,0))</f>
        <v/>
      </c>
      <c r="AF178" t="str">
        <f>IF(AE178=1,SUM($AE$5:AE178),"")</f>
        <v/>
      </c>
    </row>
    <row r="179" spans="27:32" ht="15" customHeight="1" x14ac:dyDescent="0.35">
      <c r="AA179" t="str">
        <f t="shared" si="6"/>
        <v/>
      </c>
      <c r="AB179" t="str">
        <f>IF($A179="","",IF(OR(Dashboard!$D$4="All",Dashboard!$D$4=$A179),IF(Dashboard!$G$4="All",SUM($C179:$V179),INDEX($C179:$V179,MATCH(Dashboard!$G$4,$C$4:$V$4,0))),0))</f>
        <v/>
      </c>
      <c r="AC179" t="str">
        <f t="shared" si="7"/>
        <v/>
      </c>
      <c r="AD179">
        <f t="shared" si="8"/>
        <v>0</v>
      </c>
      <c r="AE179" t="str">
        <f>IF($B179="","",IF(COUNTIF($B$5:$B179,$B179)=1,1,0))</f>
        <v/>
      </c>
      <c r="AF179" t="str">
        <f>IF(AE179=1,SUM($AE$5:AE179),"")</f>
        <v/>
      </c>
    </row>
    <row r="180" spans="27:32" ht="15" customHeight="1" x14ac:dyDescent="0.35">
      <c r="AA180" t="str">
        <f t="shared" si="6"/>
        <v/>
      </c>
      <c r="AB180" t="str">
        <f>IF($A180="","",IF(OR(Dashboard!$D$4="All",Dashboard!$D$4=$A180),IF(Dashboard!$G$4="All",SUM($C180:$V180),INDEX($C180:$V180,MATCH(Dashboard!$G$4,$C$4:$V$4,0))),0))</f>
        <v/>
      </c>
      <c r="AC180" t="str">
        <f t="shared" si="7"/>
        <v/>
      </c>
      <c r="AD180">
        <f t="shared" si="8"/>
        <v>0</v>
      </c>
      <c r="AE180" t="str">
        <f>IF($B180="","",IF(COUNTIF($B$5:$B180,$B180)=1,1,0))</f>
        <v/>
      </c>
      <c r="AF180" t="str">
        <f>IF(AE180=1,SUM($AE$5:AE180),"")</f>
        <v/>
      </c>
    </row>
    <row r="181" spans="27:32" ht="15" customHeight="1" x14ac:dyDescent="0.35">
      <c r="AA181" t="str">
        <f t="shared" si="6"/>
        <v/>
      </c>
      <c r="AB181" t="str">
        <f>IF($A181="","",IF(OR(Dashboard!$D$4="All",Dashboard!$D$4=$A181),IF(Dashboard!$G$4="All",SUM($C181:$V181),INDEX($C181:$V181,MATCH(Dashboard!$G$4,$C$4:$V$4,0))),0))</f>
        <v/>
      </c>
      <c r="AC181" t="str">
        <f t="shared" si="7"/>
        <v/>
      </c>
      <c r="AD181">
        <f t="shared" si="8"/>
        <v>0</v>
      </c>
      <c r="AE181" t="str">
        <f>IF($B181="","",IF(COUNTIF($B$5:$B181,$B181)=1,1,0))</f>
        <v/>
      </c>
      <c r="AF181" t="str">
        <f>IF(AE181=1,SUM($AE$5:AE181),"")</f>
        <v/>
      </c>
    </row>
    <row r="182" spans="27:32" ht="15" customHeight="1" x14ac:dyDescent="0.35">
      <c r="AA182" t="str">
        <f t="shared" si="6"/>
        <v/>
      </c>
      <c r="AB182" t="str">
        <f>IF($A182="","",IF(OR(Dashboard!$D$4="All",Dashboard!$D$4=$A182),IF(Dashboard!$G$4="All",SUM($C182:$V182),INDEX($C182:$V182,MATCH(Dashboard!$G$4,$C$4:$V$4,0))),0))</f>
        <v/>
      </c>
      <c r="AC182" t="str">
        <f t="shared" si="7"/>
        <v/>
      </c>
      <c r="AD182">
        <f t="shared" si="8"/>
        <v>0</v>
      </c>
      <c r="AE182" t="str">
        <f>IF($B182="","",IF(COUNTIF($B$5:$B182,$B182)=1,1,0))</f>
        <v/>
      </c>
      <c r="AF182" t="str">
        <f>IF(AE182=1,SUM($AE$5:AE182),"")</f>
        <v/>
      </c>
    </row>
    <row r="183" spans="27:32" ht="15" customHeight="1" x14ac:dyDescent="0.35">
      <c r="AA183" t="str">
        <f t="shared" si="6"/>
        <v/>
      </c>
      <c r="AB183" t="str">
        <f>IF($A183="","",IF(OR(Dashboard!$D$4="All",Dashboard!$D$4=$A183),IF(Dashboard!$G$4="All",SUM($C183:$V183),INDEX($C183:$V183,MATCH(Dashboard!$G$4,$C$4:$V$4,0))),0))</f>
        <v/>
      </c>
      <c r="AC183" t="str">
        <f t="shared" si="7"/>
        <v/>
      </c>
      <c r="AD183">
        <f t="shared" si="8"/>
        <v>0</v>
      </c>
      <c r="AE183" t="str">
        <f>IF($B183="","",IF(COUNTIF($B$5:$B183,$B183)=1,1,0))</f>
        <v/>
      </c>
      <c r="AF183" t="str">
        <f>IF(AE183=1,SUM($AE$5:AE183),"")</f>
        <v/>
      </c>
    </row>
    <row r="184" spans="27:32" ht="15" customHeight="1" x14ac:dyDescent="0.35">
      <c r="AA184" t="str">
        <f t="shared" si="6"/>
        <v/>
      </c>
      <c r="AB184" t="str">
        <f>IF($A184="","",IF(OR(Dashboard!$D$4="All",Dashboard!$D$4=$A184),IF(Dashboard!$G$4="All",SUM($C184:$V184),INDEX($C184:$V184,MATCH(Dashboard!$G$4,$C$4:$V$4,0))),0))</f>
        <v/>
      </c>
      <c r="AC184" t="str">
        <f t="shared" si="7"/>
        <v/>
      </c>
      <c r="AD184">
        <f t="shared" si="8"/>
        <v>0</v>
      </c>
      <c r="AE184" t="str">
        <f>IF($B184="","",IF(COUNTIF($B$5:$B184,$B184)=1,1,0))</f>
        <v/>
      </c>
      <c r="AF184" t="str">
        <f>IF(AE184=1,SUM($AE$5:AE184),"")</f>
        <v/>
      </c>
    </row>
    <row r="185" spans="27:32" ht="15" customHeight="1" x14ac:dyDescent="0.35">
      <c r="AA185" t="str">
        <f t="shared" si="6"/>
        <v/>
      </c>
      <c r="AB185" t="str">
        <f>IF($A185="","",IF(OR(Dashboard!$D$4="All",Dashboard!$D$4=$A185),IF(Dashboard!$G$4="All",SUM($C185:$V185),INDEX($C185:$V185,MATCH(Dashboard!$G$4,$C$4:$V$4,0))),0))</f>
        <v/>
      </c>
      <c r="AC185" t="str">
        <f t="shared" si="7"/>
        <v/>
      </c>
      <c r="AD185">
        <f t="shared" si="8"/>
        <v>0</v>
      </c>
      <c r="AE185" t="str">
        <f>IF($B185="","",IF(COUNTIF($B$5:$B185,$B185)=1,1,0))</f>
        <v/>
      </c>
      <c r="AF185" t="str">
        <f>IF(AE185=1,SUM($AE$5:AE185),"")</f>
        <v/>
      </c>
    </row>
    <row r="186" spans="27:32" ht="15" customHeight="1" x14ac:dyDescent="0.35">
      <c r="AA186" t="str">
        <f t="shared" si="6"/>
        <v/>
      </c>
      <c r="AB186" t="str">
        <f>IF($A186="","",IF(OR(Dashboard!$D$4="All",Dashboard!$D$4=$A186),IF(Dashboard!$G$4="All",SUM($C186:$V186),INDEX($C186:$V186,MATCH(Dashboard!$G$4,$C$4:$V$4,0))),0))</f>
        <v/>
      </c>
      <c r="AC186" t="str">
        <f t="shared" si="7"/>
        <v/>
      </c>
      <c r="AD186">
        <f t="shared" si="8"/>
        <v>0</v>
      </c>
      <c r="AE186" t="str">
        <f>IF($B186="","",IF(COUNTIF($B$5:$B186,$B186)=1,1,0))</f>
        <v/>
      </c>
      <c r="AF186" t="str">
        <f>IF(AE186=1,SUM($AE$5:AE186),"")</f>
        <v/>
      </c>
    </row>
    <row r="187" spans="27:32" ht="15" customHeight="1" x14ac:dyDescent="0.35">
      <c r="AA187" t="str">
        <f t="shared" si="6"/>
        <v/>
      </c>
      <c r="AB187" t="str">
        <f>IF($A187="","",IF(OR(Dashboard!$D$4="All",Dashboard!$D$4=$A187),IF(Dashboard!$G$4="All",SUM($C187:$V187),INDEX($C187:$V187,MATCH(Dashboard!$G$4,$C$4:$V$4,0))),0))</f>
        <v/>
      </c>
      <c r="AC187" t="str">
        <f t="shared" si="7"/>
        <v/>
      </c>
      <c r="AD187">
        <f t="shared" si="8"/>
        <v>0</v>
      </c>
      <c r="AE187" t="str">
        <f>IF($B187="","",IF(COUNTIF($B$5:$B187,$B187)=1,1,0))</f>
        <v/>
      </c>
      <c r="AF187" t="str">
        <f>IF(AE187=1,SUM($AE$5:AE187),"")</f>
        <v/>
      </c>
    </row>
    <row r="188" spans="27:32" ht="15" customHeight="1" x14ac:dyDescent="0.35">
      <c r="AA188" t="str">
        <f t="shared" si="6"/>
        <v/>
      </c>
      <c r="AB188" t="str">
        <f>IF($A188="","",IF(OR(Dashboard!$D$4="All",Dashboard!$D$4=$A188),IF(Dashboard!$G$4="All",SUM($C188:$V188),INDEX($C188:$V188,MATCH(Dashboard!$G$4,$C$4:$V$4,0))),0))</f>
        <v/>
      </c>
      <c r="AC188" t="str">
        <f t="shared" si="7"/>
        <v/>
      </c>
      <c r="AD188">
        <f t="shared" si="8"/>
        <v>0</v>
      </c>
      <c r="AE188" t="str">
        <f>IF($B188="","",IF(COUNTIF($B$5:$B188,$B188)=1,1,0))</f>
        <v/>
      </c>
      <c r="AF188" t="str">
        <f>IF(AE188=1,SUM($AE$5:AE188),"")</f>
        <v/>
      </c>
    </row>
    <row r="189" spans="27:32" ht="15" customHeight="1" x14ac:dyDescent="0.35">
      <c r="AA189" t="str">
        <f t="shared" si="6"/>
        <v/>
      </c>
      <c r="AB189" t="str">
        <f>IF($A189="","",IF(OR(Dashboard!$D$4="All",Dashboard!$D$4=$A189),IF(Dashboard!$G$4="All",SUM($C189:$V189),INDEX($C189:$V189,MATCH(Dashboard!$G$4,$C$4:$V$4,0))),0))</f>
        <v/>
      </c>
      <c r="AC189" t="str">
        <f t="shared" si="7"/>
        <v/>
      </c>
      <c r="AD189">
        <f t="shared" si="8"/>
        <v>0</v>
      </c>
      <c r="AE189" t="str">
        <f>IF($B189="","",IF(COUNTIF($B$5:$B189,$B189)=1,1,0))</f>
        <v/>
      </c>
      <c r="AF189" t="str">
        <f>IF(AE189=1,SUM($AE$5:AE189),"")</f>
        <v/>
      </c>
    </row>
    <row r="190" spans="27:32" ht="15" customHeight="1" x14ac:dyDescent="0.35">
      <c r="AA190" t="str">
        <f t="shared" si="6"/>
        <v/>
      </c>
      <c r="AB190" t="str">
        <f>IF($A190="","",IF(OR(Dashboard!$D$4="All",Dashboard!$D$4=$A190),IF(Dashboard!$G$4="All",SUM($C190:$V190),INDEX($C190:$V190,MATCH(Dashboard!$G$4,$C$4:$V$4,0))),0))</f>
        <v/>
      </c>
      <c r="AC190" t="str">
        <f t="shared" si="7"/>
        <v/>
      </c>
      <c r="AD190">
        <f t="shared" si="8"/>
        <v>0</v>
      </c>
      <c r="AE190" t="str">
        <f>IF($B190="","",IF(COUNTIF($B$5:$B190,$B190)=1,1,0))</f>
        <v/>
      </c>
      <c r="AF190" t="str">
        <f>IF(AE190=1,SUM($AE$5:AE190),"")</f>
        <v/>
      </c>
    </row>
    <row r="191" spans="27:32" ht="15" customHeight="1" x14ac:dyDescent="0.35">
      <c r="AA191" t="str">
        <f t="shared" si="6"/>
        <v/>
      </c>
      <c r="AB191" t="str">
        <f>IF($A191="","",IF(OR(Dashboard!$D$4="All",Dashboard!$D$4=$A191),IF(Dashboard!$G$4="All",SUM($C191:$V191),INDEX($C191:$V191,MATCH(Dashboard!$G$4,$C$4:$V$4,0))),0))</f>
        <v/>
      </c>
      <c r="AC191" t="str">
        <f t="shared" si="7"/>
        <v/>
      </c>
      <c r="AD191">
        <f t="shared" si="8"/>
        <v>0</v>
      </c>
      <c r="AE191" t="str">
        <f>IF($B191="","",IF(COUNTIF($B$5:$B191,$B191)=1,1,0))</f>
        <v/>
      </c>
      <c r="AF191" t="str">
        <f>IF(AE191=1,SUM($AE$5:AE191),"")</f>
        <v/>
      </c>
    </row>
    <row r="192" spans="27:32" ht="15" customHeight="1" x14ac:dyDescent="0.35">
      <c r="AA192" t="str">
        <f t="shared" si="6"/>
        <v/>
      </c>
      <c r="AB192" t="str">
        <f>IF($A192="","",IF(OR(Dashboard!$D$4="All",Dashboard!$D$4=$A192),IF(Dashboard!$G$4="All",SUM($C192:$V192),INDEX($C192:$V192,MATCH(Dashboard!$G$4,$C$4:$V$4,0))),0))</f>
        <v/>
      </c>
      <c r="AC192" t="str">
        <f t="shared" si="7"/>
        <v/>
      </c>
      <c r="AD192">
        <f t="shared" si="8"/>
        <v>0</v>
      </c>
      <c r="AE192" t="str">
        <f>IF($B192="","",IF(COUNTIF($B$5:$B192,$B192)=1,1,0))</f>
        <v/>
      </c>
      <c r="AF192" t="str">
        <f>IF(AE192=1,SUM($AE$5:AE192),"")</f>
        <v/>
      </c>
    </row>
    <row r="193" spans="27:32" ht="15" customHeight="1" x14ac:dyDescent="0.35">
      <c r="AA193" t="str">
        <f t="shared" si="6"/>
        <v/>
      </c>
      <c r="AB193" t="str">
        <f>IF($A193="","",IF(OR(Dashboard!$D$4="All",Dashboard!$D$4=$A193),IF(Dashboard!$G$4="All",SUM($C193:$V193),INDEX($C193:$V193,MATCH(Dashboard!$G$4,$C$4:$V$4,0))),0))</f>
        <v/>
      </c>
      <c r="AC193" t="str">
        <f t="shared" si="7"/>
        <v/>
      </c>
      <c r="AD193">
        <f t="shared" si="8"/>
        <v>0</v>
      </c>
      <c r="AE193" t="str">
        <f>IF($B193="","",IF(COUNTIF($B$5:$B193,$B193)=1,1,0))</f>
        <v/>
      </c>
      <c r="AF193" t="str">
        <f>IF(AE193=1,SUM($AE$5:AE193),"")</f>
        <v/>
      </c>
    </row>
    <row r="194" spans="27:32" ht="15" customHeight="1" x14ac:dyDescent="0.35">
      <c r="AA194" t="str">
        <f t="shared" si="6"/>
        <v/>
      </c>
      <c r="AB194" t="str">
        <f>IF($A194="","",IF(OR(Dashboard!$D$4="All",Dashboard!$D$4=$A194),IF(Dashboard!$G$4="All",SUM($C194:$V194),INDEX($C194:$V194,MATCH(Dashboard!$G$4,$C$4:$V$4,0))),0))</f>
        <v/>
      </c>
      <c r="AC194" t="str">
        <f t="shared" si="7"/>
        <v/>
      </c>
      <c r="AD194">
        <f t="shared" si="8"/>
        <v>0</v>
      </c>
      <c r="AE194" t="str">
        <f>IF($B194="","",IF(COUNTIF($B$5:$B194,$B194)=1,1,0))</f>
        <v/>
      </c>
      <c r="AF194" t="str">
        <f>IF(AE194=1,SUM($AE$5:AE194),"")</f>
        <v/>
      </c>
    </row>
    <row r="195" spans="27:32" ht="15" customHeight="1" x14ac:dyDescent="0.35">
      <c r="AA195" t="str">
        <f t="shared" si="6"/>
        <v/>
      </c>
      <c r="AB195" t="str">
        <f>IF($A195="","",IF(OR(Dashboard!$D$4="All",Dashboard!$D$4=$A195),IF(Dashboard!$G$4="All",SUM($C195:$V195),INDEX($C195:$V195,MATCH(Dashboard!$G$4,$C$4:$V$4,0))),0))</f>
        <v/>
      </c>
      <c r="AC195" t="str">
        <f t="shared" si="7"/>
        <v/>
      </c>
      <c r="AD195">
        <f t="shared" si="8"/>
        <v>0</v>
      </c>
      <c r="AE195" t="str">
        <f>IF($B195="","",IF(COUNTIF($B$5:$B195,$B195)=1,1,0))</f>
        <v/>
      </c>
      <c r="AF195" t="str">
        <f>IF(AE195=1,SUM($AE$5:AE195),"")</f>
        <v/>
      </c>
    </row>
    <row r="196" spans="27:32" ht="15" customHeight="1" x14ac:dyDescent="0.35">
      <c r="AA196" t="str">
        <f t="shared" si="6"/>
        <v/>
      </c>
      <c r="AB196" t="str">
        <f>IF($A196="","",IF(OR(Dashboard!$D$4="All",Dashboard!$D$4=$A196),IF(Dashboard!$G$4="All",SUM($C196:$V196),INDEX($C196:$V196,MATCH(Dashboard!$G$4,$C$4:$V$4,0))),0))</f>
        <v/>
      </c>
      <c r="AC196" t="str">
        <f t="shared" si="7"/>
        <v/>
      </c>
      <c r="AD196">
        <f t="shared" si="8"/>
        <v>0</v>
      </c>
      <c r="AE196" t="str">
        <f>IF($B196="","",IF(COUNTIF($B$5:$B196,$B196)=1,1,0))</f>
        <v/>
      </c>
      <c r="AF196" t="str">
        <f>IF(AE196=1,SUM($AE$5:AE196),"")</f>
        <v/>
      </c>
    </row>
    <row r="197" spans="27:32" ht="15" customHeight="1" x14ac:dyDescent="0.35">
      <c r="AA197" t="str">
        <f t="shared" ref="AA197:AA260" si="9">IF($A197="","",SUM($C197:$W197))</f>
        <v/>
      </c>
      <c r="AB197" t="str">
        <f>IF($A197="","",IF(OR(Dashboard!$D$4="All",Dashboard!$D$4=$A197),IF(Dashboard!$G$4="All",SUM($C197:$V197),INDEX($C197:$V197,MATCH(Dashboard!$G$4,$C$4:$V$4,0))),0))</f>
        <v/>
      </c>
      <c r="AC197" t="str">
        <f t="shared" ref="AC197:AC260" si="10">IF(AND($A197&lt;&gt;"",$AB197&gt;0),SUMPRODUCT(($AB$5:$AB$364&gt;0)*(ROW($AB$5:$AB$364)&lt;=ROW($AB197))),"")</f>
        <v/>
      </c>
      <c r="AD197">
        <f t="shared" ref="AD197:AD260" si="11">IF($A197="",0,SUM($C197:$V197))</f>
        <v>0</v>
      </c>
      <c r="AE197" t="str">
        <f>IF($B197="","",IF(COUNTIF($B$5:$B197,$B197)=1,1,0))</f>
        <v/>
      </c>
      <c r="AF197" t="str">
        <f>IF(AE197=1,SUM($AE$5:AE197),"")</f>
        <v/>
      </c>
    </row>
    <row r="198" spans="27:32" ht="15" customHeight="1" x14ac:dyDescent="0.35">
      <c r="AA198" t="str">
        <f t="shared" si="9"/>
        <v/>
      </c>
      <c r="AB198" t="str">
        <f>IF($A198="","",IF(OR(Dashboard!$D$4="All",Dashboard!$D$4=$A198),IF(Dashboard!$G$4="All",SUM($C198:$V198),INDEX($C198:$V198,MATCH(Dashboard!$G$4,$C$4:$V$4,0))),0))</f>
        <v/>
      </c>
      <c r="AC198" t="str">
        <f t="shared" si="10"/>
        <v/>
      </c>
      <c r="AD198">
        <f t="shared" si="11"/>
        <v>0</v>
      </c>
      <c r="AE198" t="str">
        <f>IF($B198="","",IF(COUNTIF($B$5:$B198,$B198)=1,1,0))</f>
        <v/>
      </c>
      <c r="AF198" t="str">
        <f>IF(AE198=1,SUM($AE$5:AE198),"")</f>
        <v/>
      </c>
    </row>
    <row r="199" spans="27:32" ht="15" customHeight="1" x14ac:dyDescent="0.35">
      <c r="AA199" t="str">
        <f t="shared" si="9"/>
        <v/>
      </c>
      <c r="AB199" t="str">
        <f>IF($A199="","",IF(OR(Dashboard!$D$4="All",Dashboard!$D$4=$A199),IF(Dashboard!$G$4="All",SUM($C199:$V199),INDEX($C199:$V199,MATCH(Dashboard!$G$4,$C$4:$V$4,0))),0))</f>
        <v/>
      </c>
      <c r="AC199" t="str">
        <f t="shared" si="10"/>
        <v/>
      </c>
      <c r="AD199">
        <f t="shared" si="11"/>
        <v>0</v>
      </c>
      <c r="AE199" t="str">
        <f>IF($B199="","",IF(COUNTIF($B$5:$B199,$B199)=1,1,0))</f>
        <v/>
      </c>
      <c r="AF199" t="str">
        <f>IF(AE199=1,SUM($AE$5:AE199),"")</f>
        <v/>
      </c>
    </row>
    <row r="200" spans="27:32" ht="15" customHeight="1" x14ac:dyDescent="0.35">
      <c r="AA200" t="str">
        <f t="shared" si="9"/>
        <v/>
      </c>
      <c r="AB200" t="str">
        <f>IF($A200="","",IF(OR(Dashboard!$D$4="All",Dashboard!$D$4=$A200),IF(Dashboard!$G$4="All",SUM($C200:$V200),INDEX($C200:$V200,MATCH(Dashboard!$G$4,$C$4:$V$4,0))),0))</f>
        <v/>
      </c>
      <c r="AC200" t="str">
        <f t="shared" si="10"/>
        <v/>
      </c>
      <c r="AD200">
        <f t="shared" si="11"/>
        <v>0</v>
      </c>
      <c r="AE200" t="str">
        <f>IF($B200="","",IF(COUNTIF($B$5:$B200,$B200)=1,1,0))</f>
        <v/>
      </c>
      <c r="AF200" t="str">
        <f>IF(AE200=1,SUM($AE$5:AE200),"")</f>
        <v/>
      </c>
    </row>
    <row r="201" spans="27:32" ht="15" customHeight="1" x14ac:dyDescent="0.35">
      <c r="AA201" t="str">
        <f t="shared" si="9"/>
        <v/>
      </c>
      <c r="AB201" t="str">
        <f>IF($A201="","",IF(OR(Dashboard!$D$4="All",Dashboard!$D$4=$A201),IF(Dashboard!$G$4="All",SUM($C201:$V201),INDEX($C201:$V201,MATCH(Dashboard!$G$4,$C$4:$V$4,0))),0))</f>
        <v/>
      </c>
      <c r="AC201" t="str">
        <f t="shared" si="10"/>
        <v/>
      </c>
      <c r="AD201">
        <f t="shared" si="11"/>
        <v>0</v>
      </c>
      <c r="AE201" t="str">
        <f>IF($B201="","",IF(COUNTIF($B$5:$B201,$B201)=1,1,0))</f>
        <v/>
      </c>
      <c r="AF201" t="str">
        <f>IF(AE201=1,SUM($AE$5:AE201),"")</f>
        <v/>
      </c>
    </row>
    <row r="202" spans="27:32" ht="15" customHeight="1" x14ac:dyDescent="0.35">
      <c r="AA202" t="str">
        <f t="shared" si="9"/>
        <v/>
      </c>
      <c r="AB202" t="str">
        <f>IF($A202="","",IF(OR(Dashboard!$D$4="All",Dashboard!$D$4=$A202),IF(Dashboard!$G$4="All",SUM($C202:$V202),INDEX($C202:$V202,MATCH(Dashboard!$G$4,$C$4:$V$4,0))),0))</f>
        <v/>
      </c>
      <c r="AC202" t="str">
        <f t="shared" si="10"/>
        <v/>
      </c>
      <c r="AD202">
        <f t="shared" si="11"/>
        <v>0</v>
      </c>
      <c r="AE202" t="str">
        <f>IF($B202="","",IF(COUNTIF($B$5:$B202,$B202)=1,1,0))</f>
        <v/>
      </c>
      <c r="AF202" t="str">
        <f>IF(AE202=1,SUM($AE$5:AE202),"")</f>
        <v/>
      </c>
    </row>
    <row r="203" spans="27:32" ht="15" customHeight="1" x14ac:dyDescent="0.35">
      <c r="AA203" t="str">
        <f t="shared" si="9"/>
        <v/>
      </c>
      <c r="AB203" t="str">
        <f>IF($A203="","",IF(OR(Dashboard!$D$4="All",Dashboard!$D$4=$A203),IF(Dashboard!$G$4="All",SUM($C203:$V203),INDEX($C203:$V203,MATCH(Dashboard!$G$4,$C$4:$V$4,0))),0))</f>
        <v/>
      </c>
      <c r="AC203" t="str">
        <f t="shared" si="10"/>
        <v/>
      </c>
      <c r="AD203">
        <f t="shared" si="11"/>
        <v>0</v>
      </c>
      <c r="AE203" t="str">
        <f>IF($B203="","",IF(COUNTIF($B$5:$B203,$B203)=1,1,0))</f>
        <v/>
      </c>
      <c r="AF203" t="str">
        <f>IF(AE203=1,SUM($AE$5:AE203),"")</f>
        <v/>
      </c>
    </row>
    <row r="204" spans="27:32" ht="15" customHeight="1" x14ac:dyDescent="0.35">
      <c r="AA204" t="str">
        <f t="shared" si="9"/>
        <v/>
      </c>
      <c r="AB204" t="str">
        <f>IF($A204="","",IF(OR(Dashboard!$D$4="All",Dashboard!$D$4=$A204),IF(Dashboard!$G$4="All",SUM($C204:$V204),INDEX($C204:$V204,MATCH(Dashboard!$G$4,$C$4:$V$4,0))),0))</f>
        <v/>
      </c>
      <c r="AC204" t="str">
        <f t="shared" si="10"/>
        <v/>
      </c>
      <c r="AD204">
        <f t="shared" si="11"/>
        <v>0</v>
      </c>
      <c r="AE204" t="str">
        <f>IF($B204="","",IF(COUNTIF($B$5:$B204,$B204)=1,1,0))</f>
        <v/>
      </c>
      <c r="AF204" t="str">
        <f>IF(AE204=1,SUM($AE$5:AE204),"")</f>
        <v/>
      </c>
    </row>
    <row r="205" spans="27:32" ht="15" customHeight="1" x14ac:dyDescent="0.35">
      <c r="AA205" t="str">
        <f t="shared" si="9"/>
        <v/>
      </c>
      <c r="AB205" t="str">
        <f>IF($A205="","",IF(OR(Dashboard!$D$4="All",Dashboard!$D$4=$A205),IF(Dashboard!$G$4="All",SUM($C205:$V205),INDEX($C205:$V205,MATCH(Dashboard!$G$4,$C$4:$V$4,0))),0))</f>
        <v/>
      </c>
      <c r="AC205" t="str">
        <f t="shared" si="10"/>
        <v/>
      </c>
      <c r="AD205">
        <f t="shared" si="11"/>
        <v>0</v>
      </c>
      <c r="AE205" t="str">
        <f>IF($B205="","",IF(COUNTIF($B$5:$B205,$B205)=1,1,0))</f>
        <v/>
      </c>
      <c r="AF205" t="str">
        <f>IF(AE205=1,SUM($AE$5:AE205),"")</f>
        <v/>
      </c>
    </row>
    <row r="206" spans="27:32" ht="15" customHeight="1" x14ac:dyDescent="0.35">
      <c r="AA206" t="str">
        <f t="shared" si="9"/>
        <v/>
      </c>
      <c r="AB206" t="str">
        <f>IF($A206="","",IF(OR(Dashboard!$D$4="All",Dashboard!$D$4=$A206),IF(Dashboard!$G$4="All",SUM($C206:$V206),INDEX($C206:$V206,MATCH(Dashboard!$G$4,$C$4:$V$4,0))),0))</f>
        <v/>
      </c>
      <c r="AC206" t="str">
        <f t="shared" si="10"/>
        <v/>
      </c>
      <c r="AD206">
        <f t="shared" si="11"/>
        <v>0</v>
      </c>
      <c r="AE206" t="str">
        <f>IF($B206="","",IF(COUNTIF($B$5:$B206,$B206)=1,1,0))</f>
        <v/>
      </c>
      <c r="AF206" t="str">
        <f>IF(AE206=1,SUM($AE$5:AE206),"")</f>
        <v/>
      </c>
    </row>
    <row r="207" spans="27:32" ht="15" customHeight="1" x14ac:dyDescent="0.35">
      <c r="AA207" t="str">
        <f t="shared" si="9"/>
        <v/>
      </c>
      <c r="AB207" t="str">
        <f>IF($A207="","",IF(OR(Dashboard!$D$4="All",Dashboard!$D$4=$A207),IF(Dashboard!$G$4="All",SUM($C207:$V207),INDEX($C207:$V207,MATCH(Dashboard!$G$4,$C$4:$V$4,0))),0))</f>
        <v/>
      </c>
      <c r="AC207" t="str">
        <f t="shared" si="10"/>
        <v/>
      </c>
      <c r="AD207">
        <f t="shared" si="11"/>
        <v>0</v>
      </c>
      <c r="AE207" t="str">
        <f>IF($B207="","",IF(COUNTIF($B$5:$B207,$B207)=1,1,0))</f>
        <v/>
      </c>
      <c r="AF207" t="str">
        <f>IF(AE207=1,SUM($AE$5:AE207),"")</f>
        <v/>
      </c>
    </row>
    <row r="208" spans="27:32" ht="15" customHeight="1" x14ac:dyDescent="0.35">
      <c r="AA208" t="str">
        <f t="shared" si="9"/>
        <v/>
      </c>
      <c r="AB208" t="str">
        <f>IF($A208="","",IF(OR(Dashboard!$D$4="All",Dashboard!$D$4=$A208),IF(Dashboard!$G$4="All",SUM($C208:$V208),INDEX($C208:$V208,MATCH(Dashboard!$G$4,$C$4:$V$4,0))),0))</f>
        <v/>
      </c>
      <c r="AC208" t="str">
        <f t="shared" si="10"/>
        <v/>
      </c>
      <c r="AD208">
        <f t="shared" si="11"/>
        <v>0</v>
      </c>
      <c r="AE208" t="str">
        <f>IF($B208="","",IF(COUNTIF($B$5:$B208,$B208)=1,1,0))</f>
        <v/>
      </c>
      <c r="AF208" t="str">
        <f>IF(AE208=1,SUM($AE$5:AE208),"")</f>
        <v/>
      </c>
    </row>
    <row r="209" spans="27:32" ht="15" customHeight="1" x14ac:dyDescent="0.35">
      <c r="AA209" t="str">
        <f t="shared" si="9"/>
        <v/>
      </c>
      <c r="AB209" t="str">
        <f>IF($A209="","",IF(OR(Dashboard!$D$4="All",Dashboard!$D$4=$A209),IF(Dashboard!$G$4="All",SUM($C209:$V209),INDEX($C209:$V209,MATCH(Dashboard!$G$4,$C$4:$V$4,0))),0))</f>
        <v/>
      </c>
      <c r="AC209" t="str">
        <f t="shared" si="10"/>
        <v/>
      </c>
      <c r="AD209">
        <f t="shared" si="11"/>
        <v>0</v>
      </c>
      <c r="AE209" t="str">
        <f>IF($B209="","",IF(COUNTIF($B$5:$B209,$B209)=1,1,0))</f>
        <v/>
      </c>
      <c r="AF209" t="str">
        <f>IF(AE209=1,SUM($AE$5:AE209),"")</f>
        <v/>
      </c>
    </row>
    <row r="210" spans="27:32" ht="15" customHeight="1" x14ac:dyDescent="0.35">
      <c r="AA210" t="str">
        <f t="shared" si="9"/>
        <v/>
      </c>
      <c r="AB210" t="str">
        <f>IF($A210="","",IF(OR(Dashboard!$D$4="All",Dashboard!$D$4=$A210),IF(Dashboard!$G$4="All",SUM($C210:$V210),INDEX($C210:$V210,MATCH(Dashboard!$G$4,$C$4:$V$4,0))),0))</f>
        <v/>
      </c>
      <c r="AC210" t="str">
        <f t="shared" si="10"/>
        <v/>
      </c>
      <c r="AD210">
        <f t="shared" si="11"/>
        <v>0</v>
      </c>
      <c r="AE210" t="str">
        <f>IF($B210="","",IF(COUNTIF($B$5:$B210,$B210)=1,1,0))</f>
        <v/>
      </c>
      <c r="AF210" t="str">
        <f>IF(AE210=1,SUM($AE$5:AE210),"")</f>
        <v/>
      </c>
    </row>
    <row r="211" spans="27:32" ht="15" customHeight="1" x14ac:dyDescent="0.35">
      <c r="AA211" t="str">
        <f t="shared" si="9"/>
        <v/>
      </c>
      <c r="AB211" t="str">
        <f>IF($A211="","",IF(OR(Dashboard!$D$4="All",Dashboard!$D$4=$A211),IF(Dashboard!$G$4="All",SUM($C211:$V211),INDEX($C211:$V211,MATCH(Dashboard!$G$4,$C$4:$V$4,0))),0))</f>
        <v/>
      </c>
      <c r="AC211" t="str">
        <f t="shared" si="10"/>
        <v/>
      </c>
      <c r="AD211">
        <f t="shared" si="11"/>
        <v>0</v>
      </c>
      <c r="AE211" t="str">
        <f>IF($B211="","",IF(COUNTIF($B$5:$B211,$B211)=1,1,0))</f>
        <v/>
      </c>
      <c r="AF211" t="str">
        <f>IF(AE211=1,SUM($AE$5:AE211),"")</f>
        <v/>
      </c>
    </row>
    <row r="212" spans="27:32" ht="15" customHeight="1" x14ac:dyDescent="0.35">
      <c r="AA212" t="str">
        <f t="shared" si="9"/>
        <v/>
      </c>
      <c r="AB212" t="str">
        <f>IF($A212="","",IF(OR(Dashboard!$D$4="All",Dashboard!$D$4=$A212),IF(Dashboard!$G$4="All",SUM($C212:$V212),INDEX($C212:$V212,MATCH(Dashboard!$G$4,$C$4:$V$4,0))),0))</f>
        <v/>
      </c>
      <c r="AC212" t="str">
        <f t="shared" si="10"/>
        <v/>
      </c>
      <c r="AD212">
        <f t="shared" si="11"/>
        <v>0</v>
      </c>
      <c r="AE212" t="str">
        <f>IF($B212="","",IF(COUNTIF($B$5:$B212,$B212)=1,1,0))</f>
        <v/>
      </c>
      <c r="AF212" t="str">
        <f>IF(AE212=1,SUM($AE$5:AE212),"")</f>
        <v/>
      </c>
    </row>
    <row r="213" spans="27:32" ht="15" customHeight="1" x14ac:dyDescent="0.35">
      <c r="AA213" t="str">
        <f t="shared" si="9"/>
        <v/>
      </c>
      <c r="AB213" t="str">
        <f>IF($A213="","",IF(OR(Dashboard!$D$4="All",Dashboard!$D$4=$A213),IF(Dashboard!$G$4="All",SUM($C213:$V213),INDEX($C213:$V213,MATCH(Dashboard!$G$4,$C$4:$V$4,0))),0))</f>
        <v/>
      </c>
      <c r="AC213" t="str">
        <f t="shared" si="10"/>
        <v/>
      </c>
      <c r="AD213">
        <f t="shared" si="11"/>
        <v>0</v>
      </c>
      <c r="AE213" t="str">
        <f>IF($B213="","",IF(COUNTIF($B$5:$B213,$B213)=1,1,0))</f>
        <v/>
      </c>
      <c r="AF213" t="str">
        <f>IF(AE213=1,SUM($AE$5:AE213),"")</f>
        <v/>
      </c>
    </row>
    <row r="214" spans="27:32" ht="15" customHeight="1" x14ac:dyDescent="0.35">
      <c r="AA214" t="str">
        <f t="shared" si="9"/>
        <v/>
      </c>
      <c r="AB214" t="str">
        <f>IF($A214="","",IF(OR(Dashboard!$D$4="All",Dashboard!$D$4=$A214),IF(Dashboard!$G$4="All",SUM($C214:$V214),INDEX($C214:$V214,MATCH(Dashboard!$G$4,$C$4:$V$4,0))),0))</f>
        <v/>
      </c>
      <c r="AC214" t="str">
        <f t="shared" si="10"/>
        <v/>
      </c>
      <c r="AD214">
        <f t="shared" si="11"/>
        <v>0</v>
      </c>
      <c r="AE214" t="str">
        <f>IF($B214="","",IF(COUNTIF($B$5:$B214,$B214)=1,1,0))</f>
        <v/>
      </c>
      <c r="AF214" t="str">
        <f>IF(AE214=1,SUM($AE$5:AE214),"")</f>
        <v/>
      </c>
    </row>
    <row r="215" spans="27:32" ht="15" customHeight="1" x14ac:dyDescent="0.35">
      <c r="AA215" t="str">
        <f t="shared" si="9"/>
        <v/>
      </c>
      <c r="AB215" t="str">
        <f>IF($A215="","",IF(OR(Dashboard!$D$4="All",Dashboard!$D$4=$A215),IF(Dashboard!$G$4="All",SUM($C215:$V215),INDEX($C215:$V215,MATCH(Dashboard!$G$4,$C$4:$V$4,0))),0))</f>
        <v/>
      </c>
      <c r="AC215" t="str">
        <f t="shared" si="10"/>
        <v/>
      </c>
      <c r="AD215">
        <f t="shared" si="11"/>
        <v>0</v>
      </c>
      <c r="AE215" t="str">
        <f>IF($B215="","",IF(COUNTIF($B$5:$B215,$B215)=1,1,0))</f>
        <v/>
      </c>
      <c r="AF215" t="str">
        <f>IF(AE215=1,SUM($AE$5:AE215),"")</f>
        <v/>
      </c>
    </row>
    <row r="216" spans="27:32" ht="15" customHeight="1" x14ac:dyDescent="0.35">
      <c r="AA216" t="str">
        <f t="shared" si="9"/>
        <v/>
      </c>
      <c r="AB216" t="str">
        <f>IF($A216="","",IF(OR(Dashboard!$D$4="All",Dashboard!$D$4=$A216),IF(Dashboard!$G$4="All",SUM($C216:$V216),INDEX($C216:$V216,MATCH(Dashboard!$G$4,$C$4:$V$4,0))),0))</f>
        <v/>
      </c>
      <c r="AC216" t="str">
        <f t="shared" si="10"/>
        <v/>
      </c>
      <c r="AD216">
        <f t="shared" si="11"/>
        <v>0</v>
      </c>
      <c r="AE216" t="str">
        <f>IF($B216="","",IF(COUNTIF($B$5:$B216,$B216)=1,1,0))</f>
        <v/>
      </c>
      <c r="AF216" t="str">
        <f>IF(AE216=1,SUM($AE$5:AE216),"")</f>
        <v/>
      </c>
    </row>
    <row r="217" spans="27:32" ht="15" customHeight="1" x14ac:dyDescent="0.35">
      <c r="AA217" t="str">
        <f t="shared" si="9"/>
        <v/>
      </c>
      <c r="AB217" t="str">
        <f>IF($A217="","",IF(OR(Dashboard!$D$4="All",Dashboard!$D$4=$A217),IF(Dashboard!$G$4="All",SUM($C217:$V217),INDEX($C217:$V217,MATCH(Dashboard!$G$4,$C$4:$V$4,0))),0))</f>
        <v/>
      </c>
      <c r="AC217" t="str">
        <f t="shared" si="10"/>
        <v/>
      </c>
      <c r="AD217">
        <f t="shared" si="11"/>
        <v>0</v>
      </c>
      <c r="AE217" t="str">
        <f>IF($B217="","",IF(COUNTIF($B$5:$B217,$B217)=1,1,0))</f>
        <v/>
      </c>
      <c r="AF217" t="str">
        <f>IF(AE217=1,SUM($AE$5:AE217),"")</f>
        <v/>
      </c>
    </row>
    <row r="218" spans="27:32" ht="15" customHeight="1" x14ac:dyDescent="0.35">
      <c r="AA218" t="str">
        <f t="shared" si="9"/>
        <v/>
      </c>
      <c r="AB218" t="str">
        <f>IF($A218="","",IF(OR(Dashboard!$D$4="All",Dashboard!$D$4=$A218),IF(Dashboard!$G$4="All",SUM($C218:$V218),INDEX($C218:$V218,MATCH(Dashboard!$G$4,$C$4:$V$4,0))),0))</f>
        <v/>
      </c>
      <c r="AC218" t="str">
        <f t="shared" si="10"/>
        <v/>
      </c>
      <c r="AD218">
        <f t="shared" si="11"/>
        <v>0</v>
      </c>
      <c r="AE218" t="str">
        <f>IF($B218="","",IF(COUNTIF($B$5:$B218,$B218)=1,1,0))</f>
        <v/>
      </c>
      <c r="AF218" t="str">
        <f>IF(AE218=1,SUM($AE$5:AE218),"")</f>
        <v/>
      </c>
    </row>
    <row r="219" spans="27:32" ht="15" customHeight="1" x14ac:dyDescent="0.35">
      <c r="AA219" t="str">
        <f t="shared" si="9"/>
        <v/>
      </c>
      <c r="AB219" t="str">
        <f>IF($A219="","",IF(OR(Dashboard!$D$4="All",Dashboard!$D$4=$A219),IF(Dashboard!$G$4="All",SUM($C219:$V219),INDEX($C219:$V219,MATCH(Dashboard!$G$4,$C$4:$V$4,0))),0))</f>
        <v/>
      </c>
      <c r="AC219" t="str">
        <f t="shared" si="10"/>
        <v/>
      </c>
      <c r="AD219">
        <f t="shared" si="11"/>
        <v>0</v>
      </c>
      <c r="AE219" t="str">
        <f>IF($B219="","",IF(COUNTIF($B$5:$B219,$B219)=1,1,0))</f>
        <v/>
      </c>
      <c r="AF219" t="str">
        <f>IF(AE219=1,SUM($AE$5:AE219),"")</f>
        <v/>
      </c>
    </row>
    <row r="220" spans="27:32" ht="15" customHeight="1" x14ac:dyDescent="0.35">
      <c r="AA220" t="str">
        <f t="shared" si="9"/>
        <v/>
      </c>
      <c r="AB220" t="str">
        <f>IF($A220="","",IF(OR(Dashboard!$D$4="All",Dashboard!$D$4=$A220),IF(Dashboard!$G$4="All",SUM($C220:$V220),INDEX($C220:$V220,MATCH(Dashboard!$G$4,$C$4:$V$4,0))),0))</f>
        <v/>
      </c>
      <c r="AC220" t="str">
        <f t="shared" si="10"/>
        <v/>
      </c>
      <c r="AD220">
        <f t="shared" si="11"/>
        <v>0</v>
      </c>
      <c r="AE220" t="str">
        <f>IF($B220="","",IF(COUNTIF($B$5:$B220,$B220)=1,1,0))</f>
        <v/>
      </c>
      <c r="AF220" t="str">
        <f>IF(AE220=1,SUM($AE$5:AE220),"")</f>
        <v/>
      </c>
    </row>
    <row r="221" spans="27:32" ht="15" customHeight="1" x14ac:dyDescent="0.35">
      <c r="AA221" t="str">
        <f t="shared" si="9"/>
        <v/>
      </c>
      <c r="AB221" t="str">
        <f>IF($A221="","",IF(OR(Dashboard!$D$4="All",Dashboard!$D$4=$A221),IF(Dashboard!$G$4="All",SUM($C221:$V221),INDEX($C221:$V221,MATCH(Dashboard!$G$4,$C$4:$V$4,0))),0))</f>
        <v/>
      </c>
      <c r="AC221" t="str">
        <f t="shared" si="10"/>
        <v/>
      </c>
      <c r="AD221">
        <f t="shared" si="11"/>
        <v>0</v>
      </c>
      <c r="AE221" t="str">
        <f>IF($B221="","",IF(COUNTIF($B$5:$B221,$B221)=1,1,0))</f>
        <v/>
      </c>
      <c r="AF221" t="str">
        <f>IF(AE221=1,SUM($AE$5:AE221),"")</f>
        <v/>
      </c>
    </row>
    <row r="222" spans="27:32" ht="15" customHeight="1" x14ac:dyDescent="0.35">
      <c r="AA222" t="str">
        <f t="shared" si="9"/>
        <v/>
      </c>
      <c r="AB222" t="str">
        <f>IF($A222="","",IF(OR(Dashboard!$D$4="All",Dashboard!$D$4=$A222),IF(Dashboard!$G$4="All",SUM($C222:$V222),INDEX($C222:$V222,MATCH(Dashboard!$G$4,$C$4:$V$4,0))),0))</f>
        <v/>
      </c>
      <c r="AC222" t="str">
        <f t="shared" si="10"/>
        <v/>
      </c>
      <c r="AD222">
        <f t="shared" si="11"/>
        <v>0</v>
      </c>
      <c r="AE222" t="str">
        <f>IF($B222="","",IF(COUNTIF($B$5:$B222,$B222)=1,1,0))</f>
        <v/>
      </c>
      <c r="AF222" t="str">
        <f>IF(AE222=1,SUM($AE$5:AE222),"")</f>
        <v/>
      </c>
    </row>
    <row r="223" spans="27:32" ht="15" customHeight="1" x14ac:dyDescent="0.35">
      <c r="AA223" t="str">
        <f t="shared" si="9"/>
        <v/>
      </c>
      <c r="AB223" t="str">
        <f>IF($A223="","",IF(OR(Dashboard!$D$4="All",Dashboard!$D$4=$A223),IF(Dashboard!$G$4="All",SUM($C223:$V223),INDEX($C223:$V223,MATCH(Dashboard!$G$4,$C$4:$V$4,0))),0))</f>
        <v/>
      </c>
      <c r="AC223" t="str">
        <f t="shared" si="10"/>
        <v/>
      </c>
      <c r="AD223">
        <f t="shared" si="11"/>
        <v>0</v>
      </c>
      <c r="AE223" t="str">
        <f>IF($B223="","",IF(COUNTIF($B$5:$B223,$B223)=1,1,0))</f>
        <v/>
      </c>
      <c r="AF223" t="str">
        <f>IF(AE223=1,SUM($AE$5:AE223),"")</f>
        <v/>
      </c>
    </row>
    <row r="224" spans="27:32" ht="15" customHeight="1" x14ac:dyDescent="0.35">
      <c r="AA224" t="str">
        <f t="shared" si="9"/>
        <v/>
      </c>
      <c r="AB224" t="str">
        <f>IF($A224="","",IF(OR(Dashboard!$D$4="All",Dashboard!$D$4=$A224),IF(Dashboard!$G$4="All",SUM($C224:$V224),INDEX($C224:$V224,MATCH(Dashboard!$G$4,$C$4:$V$4,0))),0))</f>
        <v/>
      </c>
      <c r="AC224" t="str">
        <f t="shared" si="10"/>
        <v/>
      </c>
      <c r="AD224">
        <f t="shared" si="11"/>
        <v>0</v>
      </c>
      <c r="AE224" t="str">
        <f>IF($B224="","",IF(COUNTIF($B$5:$B224,$B224)=1,1,0))</f>
        <v/>
      </c>
      <c r="AF224" t="str">
        <f>IF(AE224=1,SUM($AE$5:AE224),"")</f>
        <v/>
      </c>
    </row>
    <row r="225" spans="27:32" ht="15" customHeight="1" x14ac:dyDescent="0.35">
      <c r="AA225" t="str">
        <f t="shared" si="9"/>
        <v/>
      </c>
      <c r="AB225" t="str">
        <f>IF($A225="","",IF(OR(Dashboard!$D$4="All",Dashboard!$D$4=$A225),IF(Dashboard!$G$4="All",SUM($C225:$V225),INDEX($C225:$V225,MATCH(Dashboard!$G$4,$C$4:$V$4,0))),0))</f>
        <v/>
      </c>
      <c r="AC225" t="str">
        <f t="shared" si="10"/>
        <v/>
      </c>
      <c r="AD225">
        <f t="shared" si="11"/>
        <v>0</v>
      </c>
      <c r="AE225" t="str">
        <f>IF($B225="","",IF(COUNTIF($B$5:$B225,$B225)=1,1,0))</f>
        <v/>
      </c>
      <c r="AF225" t="str">
        <f>IF(AE225=1,SUM($AE$5:AE225),"")</f>
        <v/>
      </c>
    </row>
    <row r="226" spans="27:32" ht="15" customHeight="1" x14ac:dyDescent="0.35">
      <c r="AA226" t="str">
        <f t="shared" si="9"/>
        <v/>
      </c>
      <c r="AB226" t="str">
        <f>IF($A226="","",IF(OR(Dashboard!$D$4="All",Dashboard!$D$4=$A226),IF(Dashboard!$G$4="All",SUM($C226:$V226),INDEX($C226:$V226,MATCH(Dashboard!$G$4,$C$4:$V$4,0))),0))</f>
        <v/>
      </c>
      <c r="AC226" t="str">
        <f t="shared" si="10"/>
        <v/>
      </c>
      <c r="AD226">
        <f t="shared" si="11"/>
        <v>0</v>
      </c>
      <c r="AE226" t="str">
        <f>IF($B226="","",IF(COUNTIF($B$5:$B226,$B226)=1,1,0))</f>
        <v/>
      </c>
      <c r="AF226" t="str">
        <f>IF(AE226=1,SUM($AE$5:AE226),"")</f>
        <v/>
      </c>
    </row>
    <row r="227" spans="27:32" ht="15" customHeight="1" x14ac:dyDescent="0.35">
      <c r="AA227" t="str">
        <f t="shared" si="9"/>
        <v/>
      </c>
      <c r="AB227" t="str">
        <f>IF($A227="","",IF(OR(Dashboard!$D$4="All",Dashboard!$D$4=$A227),IF(Dashboard!$G$4="All",SUM($C227:$V227),INDEX($C227:$V227,MATCH(Dashboard!$G$4,$C$4:$V$4,0))),0))</f>
        <v/>
      </c>
      <c r="AC227" t="str">
        <f t="shared" si="10"/>
        <v/>
      </c>
      <c r="AD227">
        <f t="shared" si="11"/>
        <v>0</v>
      </c>
      <c r="AE227" t="str">
        <f>IF($B227="","",IF(COUNTIF($B$5:$B227,$B227)=1,1,0))</f>
        <v/>
      </c>
      <c r="AF227" t="str">
        <f>IF(AE227=1,SUM($AE$5:AE227),"")</f>
        <v/>
      </c>
    </row>
    <row r="228" spans="27:32" ht="15" customHeight="1" x14ac:dyDescent="0.35">
      <c r="AA228" t="str">
        <f t="shared" si="9"/>
        <v/>
      </c>
      <c r="AB228" t="str">
        <f>IF($A228="","",IF(OR(Dashboard!$D$4="All",Dashboard!$D$4=$A228),IF(Dashboard!$G$4="All",SUM($C228:$V228),INDEX($C228:$V228,MATCH(Dashboard!$G$4,$C$4:$V$4,0))),0))</f>
        <v/>
      </c>
      <c r="AC228" t="str">
        <f t="shared" si="10"/>
        <v/>
      </c>
      <c r="AD228">
        <f t="shared" si="11"/>
        <v>0</v>
      </c>
      <c r="AE228" t="str">
        <f>IF($B228="","",IF(COUNTIF($B$5:$B228,$B228)=1,1,0))</f>
        <v/>
      </c>
      <c r="AF228" t="str">
        <f>IF(AE228=1,SUM($AE$5:AE228),"")</f>
        <v/>
      </c>
    </row>
    <row r="229" spans="27:32" ht="15" customHeight="1" x14ac:dyDescent="0.35">
      <c r="AA229" t="str">
        <f t="shared" si="9"/>
        <v/>
      </c>
      <c r="AB229" t="str">
        <f>IF($A229="","",IF(OR(Dashboard!$D$4="All",Dashboard!$D$4=$A229),IF(Dashboard!$G$4="All",SUM($C229:$V229),INDEX($C229:$V229,MATCH(Dashboard!$G$4,$C$4:$V$4,0))),0))</f>
        <v/>
      </c>
      <c r="AC229" t="str">
        <f t="shared" si="10"/>
        <v/>
      </c>
      <c r="AD229">
        <f t="shared" si="11"/>
        <v>0</v>
      </c>
      <c r="AE229" t="str">
        <f>IF($B229="","",IF(COUNTIF($B$5:$B229,$B229)=1,1,0))</f>
        <v/>
      </c>
      <c r="AF229" t="str">
        <f>IF(AE229=1,SUM($AE$5:AE229),"")</f>
        <v/>
      </c>
    </row>
    <row r="230" spans="27:32" ht="15" customHeight="1" x14ac:dyDescent="0.35">
      <c r="AA230" t="str">
        <f t="shared" si="9"/>
        <v/>
      </c>
      <c r="AB230" t="str">
        <f>IF($A230="","",IF(OR(Dashboard!$D$4="All",Dashboard!$D$4=$A230),IF(Dashboard!$G$4="All",SUM($C230:$V230),INDEX($C230:$V230,MATCH(Dashboard!$G$4,$C$4:$V$4,0))),0))</f>
        <v/>
      </c>
      <c r="AC230" t="str">
        <f t="shared" si="10"/>
        <v/>
      </c>
      <c r="AD230">
        <f t="shared" si="11"/>
        <v>0</v>
      </c>
      <c r="AE230" t="str">
        <f>IF($B230="","",IF(COUNTIF($B$5:$B230,$B230)=1,1,0))</f>
        <v/>
      </c>
      <c r="AF230" t="str">
        <f>IF(AE230=1,SUM($AE$5:AE230),"")</f>
        <v/>
      </c>
    </row>
    <row r="231" spans="27:32" ht="15" customHeight="1" x14ac:dyDescent="0.35">
      <c r="AA231" t="str">
        <f t="shared" si="9"/>
        <v/>
      </c>
      <c r="AB231" t="str">
        <f>IF($A231="","",IF(OR(Dashboard!$D$4="All",Dashboard!$D$4=$A231),IF(Dashboard!$G$4="All",SUM($C231:$V231),INDEX($C231:$V231,MATCH(Dashboard!$G$4,$C$4:$V$4,0))),0))</f>
        <v/>
      </c>
      <c r="AC231" t="str">
        <f t="shared" si="10"/>
        <v/>
      </c>
      <c r="AD231">
        <f t="shared" si="11"/>
        <v>0</v>
      </c>
      <c r="AE231" t="str">
        <f>IF($B231="","",IF(COUNTIF($B$5:$B231,$B231)=1,1,0))</f>
        <v/>
      </c>
      <c r="AF231" t="str">
        <f>IF(AE231=1,SUM($AE$5:AE231),"")</f>
        <v/>
      </c>
    </row>
    <row r="232" spans="27:32" ht="15" customHeight="1" x14ac:dyDescent="0.35">
      <c r="AA232" t="str">
        <f t="shared" si="9"/>
        <v/>
      </c>
      <c r="AB232" t="str">
        <f>IF($A232="","",IF(OR(Dashboard!$D$4="All",Dashboard!$D$4=$A232),IF(Dashboard!$G$4="All",SUM($C232:$V232),INDEX($C232:$V232,MATCH(Dashboard!$G$4,$C$4:$V$4,0))),0))</f>
        <v/>
      </c>
      <c r="AC232" t="str">
        <f t="shared" si="10"/>
        <v/>
      </c>
      <c r="AD232">
        <f t="shared" si="11"/>
        <v>0</v>
      </c>
      <c r="AE232" t="str">
        <f>IF($B232="","",IF(COUNTIF($B$5:$B232,$B232)=1,1,0))</f>
        <v/>
      </c>
      <c r="AF232" t="str">
        <f>IF(AE232=1,SUM($AE$5:AE232),"")</f>
        <v/>
      </c>
    </row>
    <row r="233" spans="27:32" ht="15" customHeight="1" x14ac:dyDescent="0.35">
      <c r="AA233" t="str">
        <f t="shared" si="9"/>
        <v/>
      </c>
      <c r="AB233" t="str">
        <f>IF($A233="","",IF(OR(Dashboard!$D$4="All",Dashboard!$D$4=$A233),IF(Dashboard!$G$4="All",SUM($C233:$V233),INDEX($C233:$V233,MATCH(Dashboard!$G$4,$C$4:$V$4,0))),0))</f>
        <v/>
      </c>
      <c r="AC233" t="str">
        <f t="shared" si="10"/>
        <v/>
      </c>
      <c r="AD233">
        <f t="shared" si="11"/>
        <v>0</v>
      </c>
      <c r="AE233" t="str">
        <f>IF($B233="","",IF(COUNTIF($B$5:$B233,$B233)=1,1,0))</f>
        <v/>
      </c>
      <c r="AF233" t="str">
        <f>IF(AE233=1,SUM($AE$5:AE233),"")</f>
        <v/>
      </c>
    </row>
    <row r="234" spans="27:32" ht="15" customHeight="1" x14ac:dyDescent="0.35">
      <c r="AA234" t="str">
        <f t="shared" si="9"/>
        <v/>
      </c>
      <c r="AB234" t="str">
        <f>IF($A234="","",IF(OR(Dashboard!$D$4="All",Dashboard!$D$4=$A234),IF(Dashboard!$G$4="All",SUM($C234:$V234),INDEX($C234:$V234,MATCH(Dashboard!$G$4,$C$4:$V$4,0))),0))</f>
        <v/>
      </c>
      <c r="AC234" t="str">
        <f t="shared" si="10"/>
        <v/>
      </c>
      <c r="AD234">
        <f t="shared" si="11"/>
        <v>0</v>
      </c>
      <c r="AE234" t="str">
        <f>IF($B234="","",IF(COUNTIF($B$5:$B234,$B234)=1,1,0))</f>
        <v/>
      </c>
      <c r="AF234" t="str">
        <f>IF(AE234=1,SUM($AE$5:AE234),"")</f>
        <v/>
      </c>
    </row>
    <row r="235" spans="27:32" ht="15" customHeight="1" x14ac:dyDescent="0.35">
      <c r="AA235" t="str">
        <f t="shared" si="9"/>
        <v/>
      </c>
      <c r="AB235" t="str">
        <f>IF($A235="","",IF(OR(Dashboard!$D$4="All",Dashboard!$D$4=$A235),IF(Dashboard!$G$4="All",SUM($C235:$V235),INDEX($C235:$V235,MATCH(Dashboard!$G$4,$C$4:$V$4,0))),0))</f>
        <v/>
      </c>
      <c r="AC235" t="str">
        <f t="shared" si="10"/>
        <v/>
      </c>
      <c r="AD235">
        <f t="shared" si="11"/>
        <v>0</v>
      </c>
      <c r="AE235" t="str">
        <f>IF($B235="","",IF(COUNTIF($B$5:$B235,$B235)=1,1,0))</f>
        <v/>
      </c>
      <c r="AF235" t="str">
        <f>IF(AE235=1,SUM($AE$5:AE235),"")</f>
        <v/>
      </c>
    </row>
    <row r="236" spans="27:32" ht="15" customHeight="1" x14ac:dyDescent="0.35">
      <c r="AA236" t="str">
        <f t="shared" si="9"/>
        <v/>
      </c>
      <c r="AB236" t="str">
        <f>IF($A236="","",IF(OR(Dashboard!$D$4="All",Dashboard!$D$4=$A236),IF(Dashboard!$G$4="All",SUM($C236:$V236),INDEX($C236:$V236,MATCH(Dashboard!$G$4,$C$4:$V$4,0))),0))</f>
        <v/>
      </c>
      <c r="AC236" t="str">
        <f t="shared" si="10"/>
        <v/>
      </c>
      <c r="AD236">
        <f t="shared" si="11"/>
        <v>0</v>
      </c>
      <c r="AE236" t="str">
        <f>IF($B236="","",IF(COUNTIF($B$5:$B236,$B236)=1,1,0))</f>
        <v/>
      </c>
      <c r="AF236" t="str">
        <f>IF(AE236=1,SUM($AE$5:AE236),"")</f>
        <v/>
      </c>
    </row>
    <row r="237" spans="27:32" ht="15" customHeight="1" x14ac:dyDescent="0.35">
      <c r="AA237" t="str">
        <f t="shared" si="9"/>
        <v/>
      </c>
      <c r="AB237" t="str">
        <f>IF($A237="","",IF(OR(Dashboard!$D$4="All",Dashboard!$D$4=$A237),IF(Dashboard!$G$4="All",SUM($C237:$V237),INDEX($C237:$V237,MATCH(Dashboard!$G$4,$C$4:$V$4,0))),0))</f>
        <v/>
      </c>
      <c r="AC237" t="str">
        <f t="shared" si="10"/>
        <v/>
      </c>
      <c r="AD237">
        <f t="shared" si="11"/>
        <v>0</v>
      </c>
      <c r="AE237" t="str">
        <f>IF($B237="","",IF(COUNTIF($B$5:$B237,$B237)=1,1,0))</f>
        <v/>
      </c>
      <c r="AF237" t="str">
        <f>IF(AE237=1,SUM($AE$5:AE237),"")</f>
        <v/>
      </c>
    </row>
    <row r="238" spans="27:32" ht="15" customHeight="1" x14ac:dyDescent="0.35">
      <c r="AA238" t="str">
        <f t="shared" si="9"/>
        <v/>
      </c>
      <c r="AB238" t="str">
        <f>IF($A238="","",IF(OR(Dashboard!$D$4="All",Dashboard!$D$4=$A238),IF(Dashboard!$G$4="All",SUM($C238:$V238),INDEX($C238:$V238,MATCH(Dashboard!$G$4,$C$4:$V$4,0))),0))</f>
        <v/>
      </c>
      <c r="AC238" t="str">
        <f t="shared" si="10"/>
        <v/>
      </c>
      <c r="AD238">
        <f t="shared" si="11"/>
        <v>0</v>
      </c>
      <c r="AE238" t="str">
        <f>IF($B238="","",IF(COUNTIF($B$5:$B238,$B238)=1,1,0))</f>
        <v/>
      </c>
      <c r="AF238" t="str">
        <f>IF(AE238=1,SUM($AE$5:AE238),"")</f>
        <v/>
      </c>
    </row>
    <row r="239" spans="27:32" ht="15" customHeight="1" x14ac:dyDescent="0.35">
      <c r="AA239" t="str">
        <f t="shared" si="9"/>
        <v/>
      </c>
      <c r="AB239" t="str">
        <f>IF($A239="","",IF(OR(Dashboard!$D$4="All",Dashboard!$D$4=$A239),IF(Dashboard!$G$4="All",SUM($C239:$V239),INDEX($C239:$V239,MATCH(Dashboard!$G$4,$C$4:$V$4,0))),0))</f>
        <v/>
      </c>
      <c r="AC239" t="str">
        <f t="shared" si="10"/>
        <v/>
      </c>
      <c r="AD239">
        <f t="shared" si="11"/>
        <v>0</v>
      </c>
      <c r="AE239" t="str">
        <f>IF($B239="","",IF(COUNTIF($B$5:$B239,$B239)=1,1,0))</f>
        <v/>
      </c>
      <c r="AF239" t="str">
        <f>IF(AE239=1,SUM($AE$5:AE239),"")</f>
        <v/>
      </c>
    </row>
    <row r="240" spans="27:32" ht="15" customHeight="1" x14ac:dyDescent="0.35">
      <c r="AA240" t="str">
        <f t="shared" si="9"/>
        <v/>
      </c>
      <c r="AB240" t="str">
        <f>IF($A240="","",IF(OR(Dashboard!$D$4="All",Dashboard!$D$4=$A240),IF(Dashboard!$G$4="All",SUM($C240:$V240),INDEX($C240:$V240,MATCH(Dashboard!$G$4,$C$4:$V$4,0))),0))</f>
        <v/>
      </c>
      <c r="AC240" t="str">
        <f t="shared" si="10"/>
        <v/>
      </c>
      <c r="AD240">
        <f t="shared" si="11"/>
        <v>0</v>
      </c>
      <c r="AE240" t="str">
        <f>IF($B240="","",IF(COUNTIF($B$5:$B240,$B240)=1,1,0))</f>
        <v/>
      </c>
      <c r="AF240" t="str">
        <f>IF(AE240=1,SUM($AE$5:AE240),"")</f>
        <v/>
      </c>
    </row>
    <row r="241" spans="27:32" ht="15" customHeight="1" x14ac:dyDescent="0.35">
      <c r="AA241" t="str">
        <f t="shared" si="9"/>
        <v/>
      </c>
      <c r="AB241" t="str">
        <f>IF($A241="","",IF(OR(Dashboard!$D$4="All",Dashboard!$D$4=$A241),IF(Dashboard!$G$4="All",SUM($C241:$V241),INDEX($C241:$V241,MATCH(Dashboard!$G$4,$C$4:$V$4,0))),0))</f>
        <v/>
      </c>
      <c r="AC241" t="str">
        <f t="shared" si="10"/>
        <v/>
      </c>
      <c r="AD241">
        <f t="shared" si="11"/>
        <v>0</v>
      </c>
      <c r="AE241" t="str">
        <f>IF($B241="","",IF(COUNTIF($B$5:$B241,$B241)=1,1,0))</f>
        <v/>
      </c>
      <c r="AF241" t="str">
        <f>IF(AE241=1,SUM($AE$5:AE241),"")</f>
        <v/>
      </c>
    </row>
    <row r="242" spans="27:32" ht="15" customHeight="1" x14ac:dyDescent="0.35">
      <c r="AA242" t="str">
        <f t="shared" si="9"/>
        <v/>
      </c>
      <c r="AB242" t="str">
        <f>IF($A242="","",IF(OR(Dashboard!$D$4="All",Dashboard!$D$4=$A242),IF(Dashboard!$G$4="All",SUM($C242:$V242),INDEX($C242:$V242,MATCH(Dashboard!$G$4,$C$4:$V$4,0))),0))</f>
        <v/>
      </c>
      <c r="AC242" t="str">
        <f t="shared" si="10"/>
        <v/>
      </c>
      <c r="AD242">
        <f t="shared" si="11"/>
        <v>0</v>
      </c>
      <c r="AE242" t="str">
        <f>IF($B242="","",IF(COUNTIF($B$5:$B242,$B242)=1,1,0))</f>
        <v/>
      </c>
      <c r="AF242" t="str">
        <f>IF(AE242=1,SUM($AE$5:AE242),"")</f>
        <v/>
      </c>
    </row>
    <row r="243" spans="27:32" ht="15" customHeight="1" x14ac:dyDescent="0.35">
      <c r="AA243" t="str">
        <f t="shared" si="9"/>
        <v/>
      </c>
      <c r="AB243" t="str">
        <f>IF($A243="","",IF(OR(Dashboard!$D$4="All",Dashboard!$D$4=$A243),IF(Dashboard!$G$4="All",SUM($C243:$V243),INDEX($C243:$V243,MATCH(Dashboard!$G$4,$C$4:$V$4,0))),0))</f>
        <v/>
      </c>
      <c r="AC243" t="str">
        <f t="shared" si="10"/>
        <v/>
      </c>
      <c r="AD243">
        <f t="shared" si="11"/>
        <v>0</v>
      </c>
      <c r="AE243" t="str">
        <f>IF($B243="","",IF(COUNTIF($B$5:$B243,$B243)=1,1,0))</f>
        <v/>
      </c>
      <c r="AF243" t="str">
        <f>IF(AE243=1,SUM($AE$5:AE243),"")</f>
        <v/>
      </c>
    </row>
    <row r="244" spans="27:32" ht="15" customHeight="1" x14ac:dyDescent="0.35">
      <c r="AA244" t="str">
        <f t="shared" si="9"/>
        <v/>
      </c>
      <c r="AB244" t="str">
        <f>IF($A244="","",IF(OR(Dashboard!$D$4="All",Dashboard!$D$4=$A244),IF(Dashboard!$G$4="All",SUM($C244:$V244),INDEX($C244:$V244,MATCH(Dashboard!$G$4,$C$4:$V$4,0))),0))</f>
        <v/>
      </c>
      <c r="AC244" t="str">
        <f t="shared" si="10"/>
        <v/>
      </c>
      <c r="AD244">
        <f t="shared" si="11"/>
        <v>0</v>
      </c>
      <c r="AE244" t="str">
        <f>IF($B244="","",IF(COUNTIF($B$5:$B244,$B244)=1,1,0))</f>
        <v/>
      </c>
      <c r="AF244" t="str">
        <f>IF(AE244=1,SUM($AE$5:AE244),"")</f>
        <v/>
      </c>
    </row>
    <row r="245" spans="27:32" ht="15" customHeight="1" x14ac:dyDescent="0.35">
      <c r="AA245" t="str">
        <f t="shared" si="9"/>
        <v/>
      </c>
      <c r="AB245" t="str">
        <f>IF($A245="","",IF(OR(Dashboard!$D$4="All",Dashboard!$D$4=$A245),IF(Dashboard!$G$4="All",SUM($C245:$V245),INDEX($C245:$V245,MATCH(Dashboard!$G$4,$C$4:$V$4,0))),0))</f>
        <v/>
      </c>
      <c r="AC245" t="str">
        <f t="shared" si="10"/>
        <v/>
      </c>
      <c r="AD245">
        <f t="shared" si="11"/>
        <v>0</v>
      </c>
      <c r="AE245" t="str">
        <f>IF($B245="","",IF(COUNTIF($B$5:$B245,$B245)=1,1,0))</f>
        <v/>
      </c>
      <c r="AF245" t="str">
        <f>IF(AE245=1,SUM($AE$5:AE245),"")</f>
        <v/>
      </c>
    </row>
    <row r="246" spans="27:32" ht="15" customHeight="1" x14ac:dyDescent="0.35">
      <c r="AA246" t="str">
        <f t="shared" si="9"/>
        <v/>
      </c>
      <c r="AB246" t="str">
        <f>IF($A246="","",IF(OR(Dashboard!$D$4="All",Dashboard!$D$4=$A246),IF(Dashboard!$G$4="All",SUM($C246:$V246),INDEX($C246:$V246,MATCH(Dashboard!$G$4,$C$4:$V$4,0))),0))</f>
        <v/>
      </c>
      <c r="AC246" t="str">
        <f t="shared" si="10"/>
        <v/>
      </c>
      <c r="AD246">
        <f t="shared" si="11"/>
        <v>0</v>
      </c>
      <c r="AE246" t="str">
        <f>IF($B246="","",IF(COUNTIF($B$5:$B246,$B246)=1,1,0))</f>
        <v/>
      </c>
      <c r="AF246" t="str">
        <f>IF(AE246=1,SUM($AE$5:AE246),"")</f>
        <v/>
      </c>
    </row>
    <row r="247" spans="27:32" ht="15" customHeight="1" x14ac:dyDescent="0.35">
      <c r="AA247" t="str">
        <f t="shared" si="9"/>
        <v/>
      </c>
      <c r="AB247" t="str">
        <f>IF($A247="","",IF(OR(Dashboard!$D$4="All",Dashboard!$D$4=$A247),IF(Dashboard!$G$4="All",SUM($C247:$V247),INDEX($C247:$V247,MATCH(Dashboard!$G$4,$C$4:$V$4,0))),0))</f>
        <v/>
      </c>
      <c r="AC247" t="str">
        <f t="shared" si="10"/>
        <v/>
      </c>
      <c r="AD247">
        <f t="shared" si="11"/>
        <v>0</v>
      </c>
      <c r="AE247" t="str">
        <f>IF($B247="","",IF(COUNTIF($B$5:$B247,$B247)=1,1,0))</f>
        <v/>
      </c>
      <c r="AF247" t="str">
        <f>IF(AE247=1,SUM($AE$5:AE247),"")</f>
        <v/>
      </c>
    </row>
    <row r="248" spans="27:32" ht="15" customHeight="1" x14ac:dyDescent="0.35">
      <c r="AA248" t="str">
        <f t="shared" si="9"/>
        <v/>
      </c>
      <c r="AB248" t="str">
        <f>IF($A248="","",IF(OR(Dashboard!$D$4="All",Dashboard!$D$4=$A248),IF(Dashboard!$G$4="All",SUM($C248:$V248),INDEX($C248:$V248,MATCH(Dashboard!$G$4,$C$4:$V$4,0))),0))</f>
        <v/>
      </c>
      <c r="AC248" t="str">
        <f t="shared" si="10"/>
        <v/>
      </c>
      <c r="AD248">
        <f t="shared" si="11"/>
        <v>0</v>
      </c>
      <c r="AE248" t="str">
        <f>IF($B248="","",IF(COUNTIF($B$5:$B248,$B248)=1,1,0))</f>
        <v/>
      </c>
      <c r="AF248" t="str">
        <f>IF(AE248=1,SUM($AE$5:AE248),"")</f>
        <v/>
      </c>
    </row>
    <row r="249" spans="27:32" ht="15" customHeight="1" x14ac:dyDescent="0.35">
      <c r="AA249" t="str">
        <f t="shared" si="9"/>
        <v/>
      </c>
      <c r="AB249" t="str">
        <f>IF($A249="","",IF(OR(Dashboard!$D$4="All",Dashboard!$D$4=$A249),IF(Dashboard!$G$4="All",SUM($C249:$V249),INDEX($C249:$V249,MATCH(Dashboard!$G$4,$C$4:$V$4,0))),0))</f>
        <v/>
      </c>
      <c r="AC249" t="str">
        <f t="shared" si="10"/>
        <v/>
      </c>
      <c r="AD249">
        <f t="shared" si="11"/>
        <v>0</v>
      </c>
      <c r="AE249" t="str">
        <f>IF($B249="","",IF(COUNTIF($B$5:$B249,$B249)=1,1,0))</f>
        <v/>
      </c>
      <c r="AF249" t="str">
        <f>IF(AE249=1,SUM($AE$5:AE249),"")</f>
        <v/>
      </c>
    </row>
    <row r="250" spans="27:32" ht="15" customHeight="1" x14ac:dyDescent="0.35">
      <c r="AA250" t="str">
        <f t="shared" si="9"/>
        <v/>
      </c>
      <c r="AB250" t="str">
        <f>IF($A250="","",IF(OR(Dashboard!$D$4="All",Dashboard!$D$4=$A250),IF(Dashboard!$G$4="All",SUM($C250:$V250),INDEX($C250:$V250,MATCH(Dashboard!$G$4,$C$4:$V$4,0))),0))</f>
        <v/>
      </c>
      <c r="AC250" t="str">
        <f t="shared" si="10"/>
        <v/>
      </c>
      <c r="AD250">
        <f t="shared" si="11"/>
        <v>0</v>
      </c>
      <c r="AE250" t="str">
        <f>IF($B250="","",IF(COUNTIF($B$5:$B250,$B250)=1,1,0))</f>
        <v/>
      </c>
      <c r="AF250" t="str">
        <f>IF(AE250=1,SUM($AE$5:AE250),"")</f>
        <v/>
      </c>
    </row>
    <row r="251" spans="27:32" ht="15" customHeight="1" x14ac:dyDescent="0.35">
      <c r="AA251" t="str">
        <f t="shared" si="9"/>
        <v/>
      </c>
      <c r="AB251" t="str">
        <f>IF($A251="","",IF(OR(Dashboard!$D$4="All",Dashboard!$D$4=$A251),IF(Dashboard!$G$4="All",SUM($C251:$V251),INDEX($C251:$V251,MATCH(Dashboard!$G$4,$C$4:$V$4,0))),0))</f>
        <v/>
      </c>
      <c r="AC251" t="str">
        <f t="shared" si="10"/>
        <v/>
      </c>
      <c r="AD251">
        <f t="shared" si="11"/>
        <v>0</v>
      </c>
      <c r="AE251" t="str">
        <f>IF($B251="","",IF(COUNTIF($B$5:$B251,$B251)=1,1,0))</f>
        <v/>
      </c>
      <c r="AF251" t="str">
        <f>IF(AE251=1,SUM($AE$5:AE251),"")</f>
        <v/>
      </c>
    </row>
    <row r="252" spans="27:32" ht="15" customHeight="1" x14ac:dyDescent="0.35">
      <c r="AA252" t="str">
        <f t="shared" si="9"/>
        <v/>
      </c>
      <c r="AB252" t="str">
        <f>IF($A252="","",IF(OR(Dashboard!$D$4="All",Dashboard!$D$4=$A252),IF(Dashboard!$G$4="All",SUM($C252:$V252),INDEX($C252:$V252,MATCH(Dashboard!$G$4,$C$4:$V$4,0))),0))</f>
        <v/>
      </c>
      <c r="AC252" t="str">
        <f t="shared" si="10"/>
        <v/>
      </c>
      <c r="AD252">
        <f t="shared" si="11"/>
        <v>0</v>
      </c>
      <c r="AE252" t="str">
        <f>IF($B252="","",IF(COUNTIF($B$5:$B252,$B252)=1,1,0))</f>
        <v/>
      </c>
      <c r="AF252" t="str">
        <f>IF(AE252=1,SUM($AE$5:AE252),"")</f>
        <v/>
      </c>
    </row>
    <row r="253" spans="27:32" ht="15" customHeight="1" x14ac:dyDescent="0.35">
      <c r="AA253" t="str">
        <f t="shared" si="9"/>
        <v/>
      </c>
      <c r="AB253" t="str">
        <f>IF($A253="","",IF(OR(Dashboard!$D$4="All",Dashboard!$D$4=$A253),IF(Dashboard!$G$4="All",SUM($C253:$V253),INDEX($C253:$V253,MATCH(Dashboard!$G$4,$C$4:$V$4,0))),0))</f>
        <v/>
      </c>
      <c r="AC253" t="str">
        <f t="shared" si="10"/>
        <v/>
      </c>
      <c r="AD253">
        <f t="shared" si="11"/>
        <v>0</v>
      </c>
      <c r="AE253" t="str">
        <f>IF($B253="","",IF(COUNTIF($B$5:$B253,$B253)=1,1,0))</f>
        <v/>
      </c>
      <c r="AF253" t="str">
        <f>IF(AE253=1,SUM($AE$5:AE253),"")</f>
        <v/>
      </c>
    </row>
    <row r="254" spans="27:32" ht="15" customHeight="1" x14ac:dyDescent="0.35">
      <c r="AA254" t="str">
        <f t="shared" si="9"/>
        <v/>
      </c>
      <c r="AB254" t="str">
        <f>IF($A254="","",IF(OR(Dashboard!$D$4="All",Dashboard!$D$4=$A254),IF(Dashboard!$G$4="All",SUM($C254:$V254),INDEX($C254:$V254,MATCH(Dashboard!$G$4,$C$4:$V$4,0))),0))</f>
        <v/>
      </c>
      <c r="AC254" t="str">
        <f t="shared" si="10"/>
        <v/>
      </c>
      <c r="AD254">
        <f t="shared" si="11"/>
        <v>0</v>
      </c>
      <c r="AE254" t="str">
        <f>IF($B254="","",IF(COUNTIF($B$5:$B254,$B254)=1,1,0))</f>
        <v/>
      </c>
      <c r="AF254" t="str">
        <f>IF(AE254=1,SUM($AE$5:AE254),"")</f>
        <v/>
      </c>
    </row>
    <row r="255" spans="27:32" ht="15" customHeight="1" x14ac:dyDescent="0.35">
      <c r="AA255" t="str">
        <f t="shared" si="9"/>
        <v/>
      </c>
      <c r="AB255" t="str">
        <f>IF($A255="","",IF(OR(Dashboard!$D$4="All",Dashboard!$D$4=$A255),IF(Dashboard!$G$4="All",SUM($C255:$V255),INDEX($C255:$V255,MATCH(Dashboard!$G$4,$C$4:$V$4,0))),0))</f>
        <v/>
      </c>
      <c r="AC255" t="str">
        <f t="shared" si="10"/>
        <v/>
      </c>
      <c r="AD255">
        <f t="shared" si="11"/>
        <v>0</v>
      </c>
      <c r="AE255" t="str">
        <f>IF($B255="","",IF(COUNTIF($B$5:$B255,$B255)=1,1,0))</f>
        <v/>
      </c>
      <c r="AF255" t="str">
        <f>IF(AE255=1,SUM($AE$5:AE255),"")</f>
        <v/>
      </c>
    </row>
    <row r="256" spans="27:32" ht="15" customHeight="1" x14ac:dyDescent="0.35">
      <c r="AA256" t="str">
        <f t="shared" si="9"/>
        <v/>
      </c>
      <c r="AB256" t="str">
        <f>IF($A256="","",IF(OR(Dashboard!$D$4="All",Dashboard!$D$4=$A256),IF(Dashboard!$G$4="All",SUM($C256:$V256),INDEX($C256:$V256,MATCH(Dashboard!$G$4,$C$4:$V$4,0))),0))</f>
        <v/>
      </c>
      <c r="AC256" t="str">
        <f t="shared" si="10"/>
        <v/>
      </c>
      <c r="AD256">
        <f t="shared" si="11"/>
        <v>0</v>
      </c>
      <c r="AE256" t="str">
        <f>IF($B256="","",IF(COUNTIF($B$5:$B256,$B256)=1,1,0))</f>
        <v/>
      </c>
      <c r="AF256" t="str">
        <f>IF(AE256=1,SUM($AE$5:AE256),"")</f>
        <v/>
      </c>
    </row>
    <row r="257" spans="27:32" ht="15" customHeight="1" x14ac:dyDescent="0.35">
      <c r="AA257" t="str">
        <f t="shared" si="9"/>
        <v/>
      </c>
      <c r="AB257" t="str">
        <f>IF($A257="","",IF(OR(Dashboard!$D$4="All",Dashboard!$D$4=$A257),IF(Dashboard!$G$4="All",SUM($C257:$V257),INDEX($C257:$V257,MATCH(Dashboard!$G$4,$C$4:$V$4,0))),0))</f>
        <v/>
      </c>
      <c r="AC257" t="str">
        <f t="shared" si="10"/>
        <v/>
      </c>
      <c r="AD257">
        <f t="shared" si="11"/>
        <v>0</v>
      </c>
      <c r="AE257" t="str">
        <f>IF($B257="","",IF(COUNTIF($B$5:$B257,$B257)=1,1,0))</f>
        <v/>
      </c>
      <c r="AF257" t="str">
        <f>IF(AE257=1,SUM($AE$5:AE257),"")</f>
        <v/>
      </c>
    </row>
    <row r="258" spans="27:32" ht="15" customHeight="1" x14ac:dyDescent="0.35">
      <c r="AA258" t="str">
        <f t="shared" si="9"/>
        <v/>
      </c>
      <c r="AB258" t="str">
        <f>IF($A258="","",IF(OR(Dashboard!$D$4="All",Dashboard!$D$4=$A258),IF(Dashboard!$G$4="All",SUM($C258:$V258),INDEX($C258:$V258,MATCH(Dashboard!$G$4,$C$4:$V$4,0))),0))</f>
        <v/>
      </c>
      <c r="AC258" t="str">
        <f t="shared" si="10"/>
        <v/>
      </c>
      <c r="AD258">
        <f t="shared" si="11"/>
        <v>0</v>
      </c>
      <c r="AE258" t="str">
        <f>IF($B258="","",IF(COUNTIF($B$5:$B258,$B258)=1,1,0))</f>
        <v/>
      </c>
      <c r="AF258" t="str">
        <f>IF(AE258=1,SUM($AE$5:AE258),"")</f>
        <v/>
      </c>
    </row>
    <row r="259" spans="27:32" ht="15" customHeight="1" x14ac:dyDescent="0.35">
      <c r="AA259" t="str">
        <f t="shared" si="9"/>
        <v/>
      </c>
      <c r="AB259" t="str">
        <f>IF($A259="","",IF(OR(Dashboard!$D$4="All",Dashboard!$D$4=$A259),IF(Dashboard!$G$4="All",SUM($C259:$V259),INDEX($C259:$V259,MATCH(Dashboard!$G$4,$C$4:$V$4,0))),0))</f>
        <v/>
      </c>
      <c r="AC259" t="str">
        <f t="shared" si="10"/>
        <v/>
      </c>
      <c r="AD259">
        <f t="shared" si="11"/>
        <v>0</v>
      </c>
      <c r="AE259" t="str">
        <f>IF($B259="","",IF(COUNTIF($B$5:$B259,$B259)=1,1,0))</f>
        <v/>
      </c>
      <c r="AF259" t="str">
        <f>IF(AE259=1,SUM($AE$5:AE259),"")</f>
        <v/>
      </c>
    </row>
    <row r="260" spans="27:32" ht="15" customHeight="1" x14ac:dyDescent="0.35">
      <c r="AA260" t="str">
        <f t="shared" si="9"/>
        <v/>
      </c>
      <c r="AB260" t="str">
        <f>IF($A260="","",IF(OR(Dashboard!$D$4="All",Dashboard!$D$4=$A260),IF(Dashboard!$G$4="All",SUM($C260:$V260),INDEX($C260:$V260,MATCH(Dashboard!$G$4,$C$4:$V$4,0))),0))</f>
        <v/>
      </c>
      <c r="AC260" t="str">
        <f t="shared" si="10"/>
        <v/>
      </c>
      <c r="AD260">
        <f t="shared" si="11"/>
        <v>0</v>
      </c>
      <c r="AE260" t="str">
        <f>IF($B260="","",IF(COUNTIF($B$5:$B260,$B260)=1,1,0))</f>
        <v/>
      </c>
      <c r="AF260" t="str">
        <f>IF(AE260=1,SUM($AE$5:AE260),"")</f>
        <v/>
      </c>
    </row>
    <row r="261" spans="27:32" ht="15" customHeight="1" x14ac:dyDescent="0.35">
      <c r="AA261" t="str">
        <f t="shared" ref="AA261:AA324" si="12">IF($A261="","",SUM($C261:$W261))</f>
        <v/>
      </c>
      <c r="AB261" t="str">
        <f>IF($A261="","",IF(OR(Dashboard!$D$4="All",Dashboard!$D$4=$A261),IF(Dashboard!$G$4="All",SUM($C261:$V261),INDEX($C261:$V261,MATCH(Dashboard!$G$4,$C$4:$V$4,0))),0))</f>
        <v/>
      </c>
      <c r="AC261" t="str">
        <f t="shared" ref="AC261:AC324" si="13">IF(AND($A261&lt;&gt;"",$AB261&gt;0),SUMPRODUCT(($AB$5:$AB$364&gt;0)*(ROW($AB$5:$AB$364)&lt;=ROW($AB261))),"")</f>
        <v/>
      </c>
      <c r="AD261">
        <f t="shared" ref="AD261:AD324" si="14">IF($A261="",0,SUM($C261:$V261))</f>
        <v>0</v>
      </c>
      <c r="AE261" t="str">
        <f>IF($B261="","",IF(COUNTIF($B$5:$B261,$B261)=1,1,0))</f>
        <v/>
      </c>
      <c r="AF261" t="str">
        <f>IF(AE261=1,SUM($AE$5:AE261),"")</f>
        <v/>
      </c>
    </row>
    <row r="262" spans="27:32" ht="15" customHeight="1" x14ac:dyDescent="0.35">
      <c r="AA262" t="str">
        <f t="shared" si="12"/>
        <v/>
      </c>
      <c r="AB262" t="str">
        <f>IF($A262="","",IF(OR(Dashboard!$D$4="All",Dashboard!$D$4=$A262),IF(Dashboard!$G$4="All",SUM($C262:$V262),INDEX($C262:$V262,MATCH(Dashboard!$G$4,$C$4:$V$4,0))),0))</f>
        <v/>
      </c>
      <c r="AC262" t="str">
        <f t="shared" si="13"/>
        <v/>
      </c>
      <c r="AD262">
        <f t="shared" si="14"/>
        <v>0</v>
      </c>
      <c r="AE262" t="str">
        <f>IF($B262="","",IF(COUNTIF($B$5:$B262,$B262)=1,1,0))</f>
        <v/>
      </c>
      <c r="AF262" t="str">
        <f>IF(AE262=1,SUM($AE$5:AE262),"")</f>
        <v/>
      </c>
    </row>
    <row r="263" spans="27:32" ht="15" customHeight="1" x14ac:dyDescent="0.35">
      <c r="AA263" t="str">
        <f t="shared" si="12"/>
        <v/>
      </c>
      <c r="AB263" t="str">
        <f>IF($A263="","",IF(OR(Dashboard!$D$4="All",Dashboard!$D$4=$A263),IF(Dashboard!$G$4="All",SUM($C263:$V263),INDEX($C263:$V263,MATCH(Dashboard!$G$4,$C$4:$V$4,0))),0))</f>
        <v/>
      </c>
      <c r="AC263" t="str">
        <f t="shared" si="13"/>
        <v/>
      </c>
      <c r="AD263">
        <f t="shared" si="14"/>
        <v>0</v>
      </c>
      <c r="AE263" t="str">
        <f>IF($B263="","",IF(COUNTIF($B$5:$B263,$B263)=1,1,0))</f>
        <v/>
      </c>
      <c r="AF263" t="str">
        <f>IF(AE263=1,SUM($AE$5:AE263),"")</f>
        <v/>
      </c>
    </row>
    <row r="264" spans="27:32" ht="15" customHeight="1" x14ac:dyDescent="0.35">
      <c r="AA264" t="str">
        <f t="shared" si="12"/>
        <v/>
      </c>
      <c r="AB264" t="str">
        <f>IF($A264="","",IF(OR(Dashboard!$D$4="All",Dashboard!$D$4=$A264),IF(Dashboard!$G$4="All",SUM($C264:$V264),INDEX($C264:$V264,MATCH(Dashboard!$G$4,$C$4:$V$4,0))),0))</f>
        <v/>
      </c>
      <c r="AC264" t="str">
        <f t="shared" si="13"/>
        <v/>
      </c>
      <c r="AD264">
        <f t="shared" si="14"/>
        <v>0</v>
      </c>
      <c r="AE264" t="str">
        <f>IF($B264="","",IF(COUNTIF($B$5:$B264,$B264)=1,1,0))</f>
        <v/>
      </c>
      <c r="AF264" t="str">
        <f>IF(AE264=1,SUM($AE$5:AE264),"")</f>
        <v/>
      </c>
    </row>
    <row r="265" spans="27:32" ht="15" customHeight="1" x14ac:dyDescent="0.35">
      <c r="AA265" t="str">
        <f t="shared" si="12"/>
        <v/>
      </c>
      <c r="AB265" t="str">
        <f>IF($A265="","",IF(OR(Dashboard!$D$4="All",Dashboard!$D$4=$A265),IF(Dashboard!$G$4="All",SUM($C265:$V265),INDEX($C265:$V265,MATCH(Dashboard!$G$4,$C$4:$V$4,0))),0))</f>
        <v/>
      </c>
      <c r="AC265" t="str">
        <f t="shared" si="13"/>
        <v/>
      </c>
      <c r="AD265">
        <f t="shared" si="14"/>
        <v>0</v>
      </c>
      <c r="AE265" t="str">
        <f>IF($B265="","",IF(COUNTIF($B$5:$B265,$B265)=1,1,0))</f>
        <v/>
      </c>
      <c r="AF265" t="str">
        <f>IF(AE265=1,SUM($AE$5:AE265),"")</f>
        <v/>
      </c>
    </row>
    <row r="266" spans="27:32" ht="15" customHeight="1" x14ac:dyDescent="0.35">
      <c r="AA266" t="str">
        <f t="shared" si="12"/>
        <v/>
      </c>
      <c r="AB266" t="str">
        <f>IF($A266="","",IF(OR(Dashboard!$D$4="All",Dashboard!$D$4=$A266),IF(Dashboard!$G$4="All",SUM($C266:$V266),INDEX($C266:$V266,MATCH(Dashboard!$G$4,$C$4:$V$4,0))),0))</f>
        <v/>
      </c>
      <c r="AC266" t="str">
        <f t="shared" si="13"/>
        <v/>
      </c>
      <c r="AD266">
        <f t="shared" si="14"/>
        <v>0</v>
      </c>
      <c r="AE266" t="str">
        <f>IF($B266="","",IF(COUNTIF($B$5:$B266,$B266)=1,1,0))</f>
        <v/>
      </c>
      <c r="AF266" t="str">
        <f>IF(AE266=1,SUM($AE$5:AE266),"")</f>
        <v/>
      </c>
    </row>
    <row r="267" spans="27:32" ht="15" customHeight="1" x14ac:dyDescent="0.35">
      <c r="AA267" t="str">
        <f t="shared" si="12"/>
        <v/>
      </c>
      <c r="AB267" t="str">
        <f>IF($A267="","",IF(OR(Dashboard!$D$4="All",Dashboard!$D$4=$A267),IF(Dashboard!$G$4="All",SUM($C267:$V267),INDEX($C267:$V267,MATCH(Dashboard!$G$4,$C$4:$V$4,0))),0))</f>
        <v/>
      </c>
      <c r="AC267" t="str">
        <f t="shared" si="13"/>
        <v/>
      </c>
      <c r="AD267">
        <f t="shared" si="14"/>
        <v>0</v>
      </c>
      <c r="AE267" t="str">
        <f>IF($B267="","",IF(COUNTIF($B$5:$B267,$B267)=1,1,0))</f>
        <v/>
      </c>
      <c r="AF267" t="str">
        <f>IF(AE267=1,SUM($AE$5:AE267),"")</f>
        <v/>
      </c>
    </row>
    <row r="268" spans="27:32" ht="15" customHeight="1" x14ac:dyDescent="0.35">
      <c r="AA268" t="str">
        <f t="shared" si="12"/>
        <v/>
      </c>
      <c r="AB268" t="str">
        <f>IF($A268="","",IF(OR(Dashboard!$D$4="All",Dashboard!$D$4=$A268),IF(Dashboard!$G$4="All",SUM($C268:$V268),INDEX($C268:$V268,MATCH(Dashboard!$G$4,$C$4:$V$4,0))),0))</f>
        <v/>
      </c>
      <c r="AC268" t="str">
        <f t="shared" si="13"/>
        <v/>
      </c>
      <c r="AD268">
        <f t="shared" si="14"/>
        <v>0</v>
      </c>
      <c r="AE268" t="str">
        <f>IF($B268="","",IF(COUNTIF($B$5:$B268,$B268)=1,1,0))</f>
        <v/>
      </c>
      <c r="AF268" t="str">
        <f>IF(AE268=1,SUM($AE$5:AE268),"")</f>
        <v/>
      </c>
    </row>
    <row r="269" spans="27:32" ht="15" customHeight="1" x14ac:dyDescent="0.35">
      <c r="AA269" t="str">
        <f t="shared" si="12"/>
        <v/>
      </c>
      <c r="AB269" t="str">
        <f>IF($A269="","",IF(OR(Dashboard!$D$4="All",Dashboard!$D$4=$A269),IF(Dashboard!$G$4="All",SUM($C269:$V269),INDEX($C269:$V269,MATCH(Dashboard!$G$4,$C$4:$V$4,0))),0))</f>
        <v/>
      </c>
      <c r="AC269" t="str">
        <f t="shared" si="13"/>
        <v/>
      </c>
      <c r="AD269">
        <f t="shared" si="14"/>
        <v>0</v>
      </c>
      <c r="AE269" t="str">
        <f>IF($B269="","",IF(COUNTIF($B$5:$B269,$B269)=1,1,0))</f>
        <v/>
      </c>
      <c r="AF269" t="str">
        <f>IF(AE269=1,SUM($AE$5:AE269),"")</f>
        <v/>
      </c>
    </row>
    <row r="270" spans="27:32" ht="15" customHeight="1" x14ac:dyDescent="0.35">
      <c r="AA270" t="str">
        <f t="shared" si="12"/>
        <v/>
      </c>
      <c r="AB270" t="str">
        <f>IF($A270="","",IF(OR(Dashboard!$D$4="All",Dashboard!$D$4=$A270),IF(Dashboard!$G$4="All",SUM($C270:$V270),INDEX($C270:$V270,MATCH(Dashboard!$G$4,$C$4:$V$4,0))),0))</f>
        <v/>
      </c>
      <c r="AC270" t="str">
        <f t="shared" si="13"/>
        <v/>
      </c>
      <c r="AD270">
        <f t="shared" si="14"/>
        <v>0</v>
      </c>
      <c r="AE270" t="str">
        <f>IF($B270="","",IF(COUNTIF($B$5:$B270,$B270)=1,1,0))</f>
        <v/>
      </c>
      <c r="AF270" t="str">
        <f>IF(AE270=1,SUM($AE$5:AE270),"")</f>
        <v/>
      </c>
    </row>
    <row r="271" spans="27:32" ht="15" customHeight="1" x14ac:dyDescent="0.35">
      <c r="AA271" t="str">
        <f t="shared" si="12"/>
        <v/>
      </c>
      <c r="AB271" t="str">
        <f>IF($A271="","",IF(OR(Dashboard!$D$4="All",Dashboard!$D$4=$A271),IF(Dashboard!$G$4="All",SUM($C271:$V271),INDEX($C271:$V271,MATCH(Dashboard!$G$4,$C$4:$V$4,0))),0))</f>
        <v/>
      </c>
      <c r="AC271" t="str">
        <f t="shared" si="13"/>
        <v/>
      </c>
      <c r="AD271">
        <f t="shared" si="14"/>
        <v>0</v>
      </c>
      <c r="AE271" t="str">
        <f>IF($B271="","",IF(COUNTIF($B$5:$B271,$B271)=1,1,0))</f>
        <v/>
      </c>
      <c r="AF271" t="str">
        <f>IF(AE271=1,SUM($AE$5:AE271),"")</f>
        <v/>
      </c>
    </row>
    <row r="272" spans="27:32" ht="15" customHeight="1" x14ac:dyDescent="0.35">
      <c r="AA272" t="str">
        <f t="shared" si="12"/>
        <v/>
      </c>
      <c r="AB272" t="str">
        <f>IF($A272="","",IF(OR(Dashboard!$D$4="All",Dashboard!$D$4=$A272),IF(Dashboard!$G$4="All",SUM($C272:$V272),INDEX($C272:$V272,MATCH(Dashboard!$G$4,$C$4:$V$4,0))),0))</f>
        <v/>
      </c>
      <c r="AC272" t="str">
        <f t="shared" si="13"/>
        <v/>
      </c>
      <c r="AD272">
        <f t="shared" si="14"/>
        <v>0</v>
      </c>
      <c r="AE272" t="str">
        <f>IF($B272="","",IF(COUNTIF($B$5:$B272,$B272)=1,1,0))</f>
        <v/>
      </c>
      <c r="AF272" t="str">
        <f>IF(AE272=1,SUM($AE$5:AE272),"")</f>
        <v/>
      </c>
    </row>
    <row r="273" spans="27:32" ht="15" customHeight="1" x14ac:dyDescent="0.35">
      <c r="AA273" t="str">
        <f t="shared" si="12"/>
        <v/>
      </c>
      <c r="AB273" t="str">
        <f>IF($A273="","",IF(OR(Dashboard!$D$4="All",Dashboard!$D$4=$A273),IF(Dashboard!$G$4="All",SUM($C273:$V273),INDEX($C273:$V273,MATCH(Dashboard!$G$4,$C$4:$V$4,0))),0))</f>
        <v/>
      </c>
      <c r="AC273" t="str">
        <f t="shared" si="13"/>
        <v/>
      </c>
      <c r="AD273">
        <f t="shared" si="14"/>
        <v>0</v>
      </c>
      <c r="AE273" t="str">
        <f>IF($B273="","",IF(COUNTIF($B$5:$B273,$B273)=1,1,0))</f>
        <v/>
      </c>
      <c r="AF273" t="str">
        <f>IF(AE273=1,SUM($AE$5:AE273),"")</f>
        <v/>
      </c>
    </row>
    <row r="274" spans="27:32" ht="15" customHeight="1" x14ac:dyDescent="0.35">
      <c r="AA274" t="str">
        <f t="shared" si="12"/>
        <v/>
      </c>
      <c r="AB274" t="str">
        <f>IF($A274="","",IF(OR(Dashboard!$D$4="All",Dashboard!$D$4=$A274),IF(Dashboard!$G$4="All",SUM($C274:$V274),INDEX($C274:$V274,MATCH(Dashboard!$G$4,$C$4:$V$4,0))),0))</f>
        <v/>
      </c>
      <c r="AC274" t="str">
        <f t="shared" si="13"/>
        <v/>
      </c>
      <c r="AD274">
        <f t="shared" si="14"/>
        <v>0</v>
      </c>
      <c r="AE274" t="str">
        <f>IF($B274="","",IF(COUNTIF($B$5:$B274,$B274)=1,1,0))</f>
        <v/>
      </c>
      <c r="AF274" t="str">
        <f>IF(AE274=1,SUM($AE$5:AE274),"")</f>
        <v/>
      </c>
    </row>
    <row r="275" spans="27:32" ht="15" customHeight="1" x14ac:dyDescent="0.35">
      <c r="AA275" t="str">
        <f t="shared" si="12"/>
        <v/>
      </c>
      <c r="AB275" t="str">
        <f>IF($A275="","",IF(OR(Dashboard!$D$4="All",Dashboard!$D$4=$A275),IF(Dashboard!$G$4="All",SUM($C275:$V275),INDEX($C275:$V275,MATCH(Dashboard!$G$4,$C$4:$V$4,0))),0))</f>
        <v/>
      </c>
      <c r="AC275" t="str">
        <f t="shared" si="13"/>
        <v/>
      </c>
      <c r="AD275">
        <f t="shared" si="14"/>
        <v>0</v>
      </c>
      <c r="AE275" t="str">
        <f>IF($B275="","",IF(COUNTIF($B$5:$B275,$B275)=1,1,0))</f>
        <v/>
      </c>
      <c r="AF275" t="str">
        <f>IF(AE275=1,SUM($AE$5:AE275),"")</f>
        <v/>
      </c>
    </row>
    <row r="276" spans="27:32" ht="15" customHeight="1" x14ac:dyDescent="0.35">
      <c r="AA276" t="str">
        <f t="shared" si="12"/>
        <v/>
      </c>
      <c r="AB276" t="str">
        <f>IF($A276="","",IF(OR(Dashboard!$D$4="All",Dashboard!$D$4=$A276),IF(Dashboard!$G$4="All",SUM($C276:$V276),INDEX($C276:$V276,MATCH(Dashboard!$G$4,$C$4:$V$4,0))),0))</f>
        <v/>
      </c>
      <c r="AC276" t="str">
        <f t="shared" si="13"/>
        <v/>
      </c>
      <c r="AD276">
        <f t="shared" si="14"/>
        <v>0</v>
      </c>
      <c r="AE276" t="str">
        <f>IF($B276="","",IF(COUNTIF($B$5:$B276,$B276)=1,1,0))</f>
        <v/>
      </c>
      <c r="AF276" t="str">
        <f>IF(AE276=1,SUM($AE$5:AE276),"")</f>
        <v/>
      </c>
    </row>
    <row r="277" spans="27:32" ht="15" customHeight="1" x14ac:dyDescent="0.35">
      <c r="AA277" t="str">
        <f t="shared" si="12"/>
        <v/>
      </c>
      <c r="AB277" t="str">
        <f>IF($A277="","",IF(OR(Dashboard!$D$4="All",Dashboard!$D$4=$A277),IF(Dashboard!$G$4="All",SUM($C277:$V277),INDEX($C277:$V277,MATCH(Dashboard!$G$4,$C$4:$V$4,0))),0))</f>
        <v/>
      </c>
      <c r="AC277" t="str">
        <f t="shared" si="13"/>
        <v/>
      </c>
      <c r="AD277">
        <f t="shared" si="14"/>
        <v>0</v>
      </c>
      <c r="AE277" t="str">
        <f>IF($B277="","",IF(COUNTIF($B$5:$B277,$B277)=1,1,0))</f>
        <v/>
      </c>
      <c r="AF277" t="str">
        <f>IF(AE277=1,SUM($AE$5:AE277),"")</f>
        <v/>
      </c>
    </row>
    <row r="278" spans="27:32" ht="15" customHeight="1" x14ac:dyDescent="0.35">
      <c r="AA278" t="str">
        <f t="shared" si="12"/>
        <v/>
      </c>
      <c r="AB278" t="str">
        <f>IF($A278="","",IF(OR(Dashboard!$D$4="All",Dashboard!$D$4=$A278),IF(Dashboard!$G$4="All",SUM($C278:$V278),INDEX($C278:$V278,MATCH(Dashboard!$G$4,$C$4:$V$4,0))),0))</f>
        <v/>
      </c>
      <c r="AC278" t="str">
        <f t="shared" si="13"/>
        <v/>
      </c>
      <c r="AD278">
        <f t="shared" si="14"/>
        <v>0</v>
      </c>
      <c r="AE278" t="str">
        <f>IF($B278="","",IF(COUNTIF($B$5:$B278,$B278)=1,1,0))</f>
        <v/>
      </c>
      <c r="AF278" t="str">
        <f>IF(AE278=1,SUM($AE$5:AE278),"")</f>
        <v/>
      </c>
    </row>
    <row r="279" spans="27:32" ht="15" customHeight="1" x14ac:dyDescent="0.35">
      <c r="AA279" t="str">
        <f t="shared" si="12"/>
        <v/>
      </c>
      <c r="AB279" t="str">
        <f>IF($A279="","",IF(OR(Dashboard!$D$4="All",Dashboard!$D$4=$A279),IF(Dashboard!$G$4="All",SUM($C279:$V279),INDEX($C279:$V279,MATCH(Dashboard!$G$4,$C$4:$V$4,0))),0))</f>
        <v/>
      </c>
      <c r="AC279" t="str">
        <f t="shared" si="13"/>
        <v/>
      </c>
      <c r="AD279">
        <f t="shared" si="14"/>
        <v>0</v>
      </c>
      <c r="AE279" t="str">
        <f>IF($B279="","",IF(COUNTIF($B$5:$B279,$B279)=1,1,0))</f>
        <v/>
      </c>
      <c r="AF279" t="str">
        <f>IF(AE279=1,SUM($AE$5:AE279),"")</f>
        <v/>
      </c>
    </row>
    <row r="280" spans="27:32" ht="15" customHeight="1" x14ac:dyDescent="0.35">
      <c r="AA280" t="str">
        <f t="shared" si="12"/>
        <v/>
      </c>
      <c r="AB280" t="str">
        <f>IF($A280="","",IF(OR(Dashboard!$D$4="All",Dashboard!$D$4=$A280),IF(Dashboard!$G$4="All",SUM($C280:$V280),INDEX($C280:$V280,MATCH(Dashboard!$G$4,$C$4:$V$4,0))),0))</f>
        <v/>
      </c>
      <c r="AC280" t="str">
        <f t="shared" si="13"/>
        <v/>
      </c>
      <c r="AD280">
        <f t="shared" si="14"/>
        <v>0</v>
      </c>
      <c r="AE280" t="str">
        <f>IF($B280="","",IF(COUNTIF($B$5:$B280,$B280)=1,1,0))</f>
        <v/>
      </c>
      <c r="AF280" t="str">
        <f>IF(AE280=1,SUM($AE$5:AE280),"")</f>
        <v/>
      </c>
    </row>
    <row r="281" spans="27:32" ht="15" customHeight="1" x14ac:dyDescent="0.35">
      <c r="AA281" t="str">
        <f t="shared" si="12"/>
        <v/>
      </c>
      <c r="AB281" t="str">
        <f>IF($A281="","",IF(OR(Dashboard!$D$4="All",Dashboard!$D$4=$A281),IF(Dashboard!$G$4="All",SUM($C281:$V281),INDEX($C281:$V281,MATCH(Dashboard!$G$4,$C$4:$V$4,0))),0))</f>
        <v/>
      </c>
      <c r="AC281" t="str">
        <f t="shared" si="13"/>
        <v/>
      </c>
      <c r="AD281">
        <f t="shared" si="14"/>
        <v>0</v>
      </c>
      <c r="AE281" t="str">
        <f>IF($B281="","",IF(COUNTIF($B$5:$B281,$B281)=1,1,0))</f>
        <v/>
      </c>
      <c r="AF281" t="str">
        <f>IF(AE281=1,SUM($AE$5:AE281),"")</f>
        <v/>
      </c>
    </row>
    <row r="282" spans="27:32" ht="15" customHeight="1" x14ac:dyDescent="0.35">
      <c r="AA282" t="str">
        <f t="shared" si="12"/>
        <v/>
      </c>
      <c r="AB282" t="str">
        <f>IF($A282="","",IF(OR(Dashboard!$D$4="All",Dashboard!$D$4=$A282),IF(Dashboard!$G$4="All",SUM($C282:$V282),INDEX($C282:$V282,MATCH(Dashboard!$G$4,$C$4:$V$4,0))),0))</f>
        <v/>
      </c>
      <c r="AC282" t="str">
        <f t="shared" si="13"/>
        <v/>
      </c>
      <c r="AD282">
        <f t="shared" si="14"/>
        <v>0</v>
      </c>
      <c r="AE282" t="str">
        <f>IF($B282="","",IF(COUNTIF($B$5:$B282,$B282)=1,1,0))</f>
        <v/>
      </c>
      <c r="AF282" t="str">
        <f>IF(AE282=1,SUM($AE$5:AE282),"")</f>
        <v/>
      </c>
    </row>
    <row r="283" spans="27:32" ht="15" customHeight="1" x14ac:dyDescent="0.35">
      <c r="AA283" t="str">
        <f t="shared" si="12"/>
        <v/>
      </c>
      <c r="AB283" t="str">
        <f>IF($A283="","",IF(OR(Dashboard!$D$4="All",Dashboard!$D$4=$A283),IF(Dashboard!$G$4="All",SUM($C283:$V283),INDEX($C283:$V283,MATCH(Dashboard!$G$4,$C$4:$V$4,0))),0))</f>
        <v/>
      </c>
      <c r="AC283" t="str">
        <f t="shared" si="13"/>
        <v/>
      </c>
      <c r="AD283">
        <f t="shared" si="14"/>
        <v>0</v>
      </c>
      <c r="AE283" t="str">
        <f>IF($B283="","",IF(COUNTIF($B$5:$B283,$B283)=1,1,0))</f>
        <v/>
      </c>
      <c r="AF283" t="str">
        <f>IF(AE283=1,SUM($AE$5:AE283),"")</f>
        <v/>
      </c>
    </row>
    <row r="284" spans="27:32" ht="15" customHeight="1" x14ac:dyDescent="0.35">
      <c r="AA284" t="str">
        <f t="shared" si="12"/>
        <v/>
      </c>
      <c r="AB284" t="str">
        <f>IF($A284="","",IF(OR(Dashboard!$D$4="All",Dashboard!$D$4=$A284),IF(Dashboard!$G$4="All",SUM($C284:$V284),INDEX($C284:$V284,MATCH(Dashboard!$G$4,$C$4:$V$4,0))),0))</f>
        <v/>
      </c>
      <c r="AC284" t="str">
        <f t="shared" si="13"/>
        <v/>
      </c>
      <c r="AD284">
        <f t="shared" si="14"/>
        <v>0</v>
      </c>
      <c r="AE284" t="str">
        <f>IF($B284="","",IF(COUNTIF($B$5:$B284,$B284)=1,1,0))</f>
        <v/>
      </c>
      <c r="AF284" t="str">
        <f>IF(AE284=1,SUM($AE$5:AE284),"")</f>
        <v/>
      </c>
    </row>
    <row r="285" spans="27:32" ht="15" customHeight="1" x14ac:dyDescent="0.35">
      <c r="AA285" t="str">
        <f t="shared" si="12"/>
        <v/>
      </c>
      <c r="AB285" t="str">
        <f>IF($A285="","",IF(OR(Dashboard!$D$4="All",Dashboard!$D$4=$A285),IF(Dashboard!$G$4="All",SUM($C285:$V285),INDEX($C285:$V285,MATCH(Dashboard!$G$4,$C$4:$V$4,0))),0))</f>
        <v/>
      </c>
      <c r="AC285" t="str">
        <f t="shared" si="13"/>
        <v/>
      </c>
      <c r="AD285">
        <f t="shared" si="14"/>
        <v>0</v>
      </c>
      <c r="AE285" t="str">
        <f>IF($B285="","",IF(COUNTIF($B$5:$B285,$B285)=1,1,0))</f>
        <v/>
      </c>
      <c r="AF285" t="str">
        <f>IF(AE285=1,SUM($AE$5:AE285),"")</f>
        <v/>
      </c>
    </row>
    <row r="286" spans="27:32" ht="15" customHeight="1" x14ac:dyDescent="0.35">
      <c r="AA286" t="str">
        <f t="shared" si="12"/>
        <v/>
      </c>
      <c r="AB286" t="str">
        <f>IF($A286="","",IF(OR(Dashboard!$D$4="All",Dashboard!$D$4=$A286),IF(Dashboard!$G$4="All",SUM($C286:$V286),INDEX($C286:$V286,MATCH(Dashboard!$G$4,$C$4:$V$4,0))),0))</f>
        <v/>
      </c>
      <c r="AC286" t="str">
        <f t="shared" si="13"/>
        <v/>
      </c>
      <c r="AD286">
        <f t="shared" si="14"/>
        <v>0</v>
      </c>
      <c r="AE286" t="str">
        <f>IF($B286="","",IF(COUNTIF($B$5:$B286,$B286)=1,1,0))</f>
        <v/>
      </c>
      <c r="AF286" t="str">
        <f>IF(AE286=1,SUM($AE$5:AE286),"")</f>
        <v/>
      </c>
    </row>
    <row r="287" spans="27:32" ht="15" customHeight="1" x14ac:dyDescent="0.35">
      <c r="AA287" t="str">
        <f t="shared" si="12"/>
        <v/>
      </c>
      <c r="AB287" t="str">
        <f>IF($A287="","",IF(OR(Dashboard!$D$4="All",Dashboard!$D$4=$A287),IF(Dashboard!$G$4="All",SUM($C287:$V287),INDEX($C287:$V287,MATCH(Dashboard!$G$4,$C$4:$V$4,0))),0))</f>
        <v/>
      </c>
      <c r="AC287" t="str">
        <f t="shared" si="13"/>
        <v/>
      </c>
      <c r="AD287">
        <f t="shared" si="14"/>
        <v>0</v>
      </c>
      <c r="AE287" t="str">
        <f>IF($B287="","",IF(COUNTIF($B$5:$B287,$B287)=1,1,0))</f>
        <v/>
      </c>
      <c r="AF287" t="str">
        <f>IF(AE287=1,SUM($AE$5:AE287),"")</f>
        <v/>
      </c>
    </row>
    <row r="288" spans="27:32" ht="15" customHeight="1" x14ac:dyDescent="0.35">
      <c r="AA288" t="str">
        <f t="shared" si="12"/>
        <v/>
      </c>
      <c r="AB288" t="str">
        <f>IF($A288="","",IF(OR(Dashboard!$D$4="All",Dashboard!$D$4=$A288),IF(Dashboard!$G$4="All",SUM($C288:$V288),INDEX($C288:$V288,MATCH(Dashboard!$G$4,$C$4:$V$4,0))),0))</f>
        <v/>
      </c>
      <c r="AC288" t="str">
        <f t="shared" si="13"/>
        <v/>
      </c>
      <c r="AD288">
        <f t="shared" si="14"/>
        <v>0</v>
      </c>
      <c r="AE288" t="str">
        <f>IF($B288="","",IF(COUNTIF($B$5:$B288,$B288)=1,1,0))</f>
        <v/>
      </c>
      <c r="AF288" t="str">
        <f>IF(AE288=1,SUM($AE$5:AE288),"")</f>
        <v/>
      </c>
    </row>
    <row r="289" spans="27:32" ht="15" customHeight="1" x14ac:dyDescent="0.35">
      <c r="AA289" t="str">
        <f t="shared" si="12"/>
        <v/>
      </c>
      <c r="AB289" t="str">
        <f>IF($A289="","",IF(OR(Dashboard!$D$4="All",Dashboard!$D$4=$A289),IF(Dashboard!$G$4="All",SUM($C289:$V289),INDEX($C289:$V289,MATCH(Dashboard!$G$4,$C$4:$V$4,0))),0))</f>
        <v/>
      </c>
      <c r="AC289" t="str">
        <f t="shared" si="13"/>
        <v/>
      </c>
      <c r="AD289">
        <f t="shared" si="14"/>
        <v>0</v>
      </c>
      <c r="AE289" t="str">
        <f>IF($B289="","",IF(COUNTIF($B$5:$B289,$B289)=1,1,0))</f>
        <v/>
      </c>
      <c r="AF289" t="str">
        <f>IF(AE289=1,SUM($AE$5:AE289),"")</f>
        <v/>
      </c>
    </row>
    <row r="290" spans="27:32" ht="15" customHeight="1" x14ac:dyDescent="0.35">
      <c r="AA290" t="str">
        <f t="shared" si="12"/>
        <v/>
      </c>
      <c r="AB290" t="str">
        <f>IF($A290="","",IF(OR(Dashboard!$D$4="All",Dashboard!$D$4=$A290),IF(Dashboard!$G$4="All",SUM($C290:$V290),INDEX($C290:$V290,MATCH(Dashboard!$G$4,$C$4:$V$4,0))),0))</f>
        <v/>
      </c>
      <c r="AC290" t="str">
        <f t="shared" si="13"/>
        <v/>
      </c>
      <c r="AD290">
        <f t="shared" si="14"/>
        <v>0</v>
      </c>
      <c r="AE290" t="str">
        <f>IF($B290="","",IF(COUNTIF($B$5:$B290,$B290)=1,1,0))</f>
        <v/>
      </c>
      <c r="AF290" t="str">
        <f>IF(AE290=1,SUM($AE$5:AE290),"")</f>
        <v/>
      </c>
    </row>
    <row r="291" spans="27:32" ht="15" customHeight="1" x14ac:dyDescent="0.35">
      <c r="AA291" t="str">
        <f t="shared" si="12"/>
        <v/>
      </c>
      <c r="AB291" t="str">
        <f>IF($A291="","",IF(OR(Dashboard!$D$4="All",Dashboard!$D$4=$A291),IF(Dashboard!$G$4="All",SUM($C291:$V291),INDEX($C291:$V291,MATCH(Dashboard!$G$4,$C$4:$V$4,0))),0))</f>
        <v/>
      </c>
      <c r="AC291" t="str">
        <f t="shared" si="13"/>
        <v/>
      </c>
      <c r="AD291">
        <f t="shared" si="14"/>
        <v>0</v>
      </c>
      <c r="AE291" t="str">
        <f>IF($B291="","",IF(COUNTIF($B$5:$B291,$B291)=1,1,0))</f>
        <v/>
      </c>
      <c r="AF291" t="str">
        <f>IF(AE291=1,SUM($AE$5:AE291),"")</f>
        <v/>
      </c>
    </row>
    <row r="292" spans="27:32" ht="15" customHeight="1" x14ac:dyDescent="0.35">
      <c r="AA292" t="str">
        <f t="shared" si="12"/>
        <v/>
      </c>
      <c r="AB292" t="str">
        <f>IF($A292="","",IF(OR(Dashboard!$D$4="All",Dashboard!$D$4=$A292),IF(Dashboard!$G$4="All",SUM($C292:$V292),INDEX($C292:$V292,MATCH(Dashboard!$G$4,$C$4:$V$4,0))),0))</f>
        <v/>
      </c>
      <c r="AC292" t="str">
        <f t="shared" si="13"/>
        <v/>
      </c>
      <c r="AD292">
        <f t="shared" si="14"/>
        <v>0</v>
      </c>
      <c r="AE292" t="str">
        <f>IF($B292="","",IF(COUNTIF($B$5:$B292,$B292)=1,1,0))</f>
        <v/>
      </c>
      <c r="AF292" t="str">
        <f>IF(AE292=1,SUM($AE$5:AE292),"")</f>
        <v/>
      </c>
    </row>
    <row r="293" spans="27:32" ht="15" customHeight="1" x14ac:dyDescent="0.35">
      <c r="AA293" t="str">
        <f t="shared" si="12"/>
        <v/>
      </c>
      <c r="AB293" t="str">
        <f>IF($A293="","",IF(OR(Dashboard!$D$4="All",Dashboard!$D$4=$A293),IF(Dashboard!$G$4="All",SUM($C293:$V293),INDEX($C293:$V293,MATCH(Dashboard!$G$4,$C$4:$V$4,0))),0))</f>
        <v/>
      </c>
      <c r="AC293" t="str">
        <f t="shared" si="13"/>
        <v/>
      </c>
      <c r="AD293">
        <f t="shared" si="14"/>
        <v>0</v>
      </c>
      <c r="AE293" t="str">
        <f>IF($B293="","",IF(COUNTIF($B$5:$B293,$B293)=1,1,0))</f>
        <v/>
      </c>
      <c r="AF293" t="str">
        <f>IF(AE293=1,SUM($AE$5:AE293),"")</f>
        <v/>
      </c>
    </row>
    <row r="294" spans="27:32" ht="15" customHeight="1" x14ac:dyDescent="0.35">
      <c r="AA294" t="str">
        <f t="shared" si="12"/>
        <v/>
      </c>
      <c r="AB294" t="str">
        <f>IF($A294="","",IF(OR(Dashboard!$D$4="All",Dashboard!$D$4=$A294),IF(Dashboard!$G$4="All",SUM($C294:$V294),INDEX($C294:$V294,MATCH(Dashboard!$G$4,$C$4:$V$4,0))),0))</f>
        <v/>
      </c>
      <c r="AC294" t="str">
        <f t="shared" si="13"/>
        <v/>
      </c>
      <c r="AD294">
        <f t="shared" si="14"/>
        <v>0</v>
      </c>
      <c r="AE294" t="str">
        <f>IF($B294="","",IF(COUNTIF($B$5:$B294,$B294)=1,1,0))</f>
        <v/>
      </c>
      <c r="AF294" t="str">
        <f>IF(AE294=1,SUM($AE$5:AE294),"")</f>
        <v/>
      </c>
    </row>
    <row r="295" spans="27:32" ht="15" customHeight="1" x14ac:dyDescent="0.35">
      <c r="AA295" t="str">
        <f t="shared" si="12"/>
        <v/>
      </c>
      <c r="AB295" t="str">
        <f>IF($A295="","",IF(OR(Dashboard!$D$4="All",Dashboard!$D$4=$A295),IF(Dashboard!$G$4="All",SUM($C295:$V295),INDEX($C295:$V295,MATCH(Dashboard!$G$4,$C$4:$V$4,0))),0))</f>
        <v/>
      </c>
      <c r="AC295" t="str">
        <f t="shared" si="13"/>
        <v/>
      </c>
      <c r="AD295">
        <f t="shared" si="14"/>
        <v>0</v>
      </c>
      <c r="AE295" t="str">
        <f>IF($B295="","",IF(COUNTIF($B$5:$B295,$B295)=1,1,0))</f>
        <v/>
      </c>
      <c r="AF295" t="str">
        <f>IF(AE295=1,SUM($AE$5:AE295),"")</f>
        <v/>
      </c>
    </row>
    <row r="296" spans="27:32" ht="15" customHeight="1" x14ac:dyDescent="0.35">
      <c r="AA296" t="str">
        <f t="shared" si="12"/>
        <v/>
      </c>
      <c r="AB296" t="str">
        <f>IF($A296="","",IF(OR(Dashboard!$D$4="All",Dashboard!$D$4=$A296),IF(Dashboard!$G$4="All",SUM($C296:$V296),INDEX($C296:$V296,MATCH(Dashboard!$G$4,$C$4:$V$4,0))),0))</f>
        <v/>
      </c>
      <c r="AC296" t="str">
        <f t="shared" si="13"/>
        <v/>
      </c>
      <c r="AD296">
        <f t="shared" si="14"/>
        <v>0</v>
      </c>
      <c r="AE296" t="str">
        <f>IF($B296="","",IF(COUNTIF($B$5:$B296,$B296)=1,1,0))</f>
        <v/>
      </c>
      <c r="AF296" t="str">
        <f>IF(AE296=1,SUM($AE$5:AE296),"")</f>
        <v/>
      </c>
    </row>
    <row r="297" spans="27:32" ht="15" customHeight="1" x14ac:dyDescent="0.35">
      <c r="AA297" t="str">
        <f t="shared" si="12"/>
        <v/>
      </c>
      <c r="AB297" t="str">
        <f>IF($A297="","",IF(OR(Dashboard!$D$4="All",Dashboard!$D$4=$A297),IF(Dashboard!$G$4="All",SUM($C297:$V297),INDEX($C297:$V297,MATCH(Dashboard!$G$4,$C$4:$V$4,0))),0))</f>
        <v/>
      </c>
      <c r="AC297" t="str">
        <f t="shared" si="13"/>
        <v/>
      </c>
      <c r="AD297">
        <f t="shared" si="14"/>
        <v>0</v>
      </c>
      <c r="AE297" t="str">
        <f>IF($B297="","",IF(COUNTIF($B$5:$B297,$B297)=1,1,0))</f>
        <v/>
      </c>
      <c r="AF297" t="str">
        <f>IF(AE297=1,SUM($AE$5:AE297),"")</f>
        <v/>
      </c>
    </row>
    <row r="298" spans="27:32" ht="15" customHeight="1" x14ac:dyDescent="0.35">
      <c r="AA298" t="str">
        <f t="shared" si="12"/>
        <v/>
      </c>
      <c r="AB298" t="str">
        <f>IF($A298="","",IF(OR(Dashboard!$D$4="All",Dashboard!$D$4=$A298),IF(Dashboard!$G$4="All",SUM($C298:$V298),INDEX($C298:$V298,MATCH(Dashboard!$G$4,$C$4:$V$4,0))),0))</f>
        <v/>
      </c>
      <c r="AC298" t="str">
        <f t="shared" si="13"/>
        <v/>
      </c>
      <c r="AD298">
        <f t="shared" si="14"/>
        <v>0</v>
      </c>
      <c r="AE298" t="str">
        <f>IF($B298="","",IF(COUNTIF($B$5:$B298,$B298)=1,1,0))</f>
        <v/>
      </c>
      <c r="AF298" t="str">
        <f>IF(AE298=1,SUM($AE$5:AE298),"")</f>
        <v/>
      </c>
    </row>
    <row r="299" spans="27:32" ht="15" customHeight="1" x14ac:dyDescent="0.35">
      <c r="AA299" t="str">
        <f t="shared" si="12"/>
        <v/>
      </c>
      <c r="AB299" t="str">
        <f>IF($A299="","",IF(OR(Dashboard!$D$4="All",Dashboard!$D$4=$A299),IF(Dashboard!$G$4="All",SUM($C299:$V299),INDEX($C299:$V299,MATCH(Dashboard!$G$4,$C$4:$V$4,0))),0))</f>
        <v/>
      </c>
      <c r="AC299" t="str">
        <f t="shared" si="13"/>
        <v/>
      </c>
      <c r="AD299">
        <f t="shared" si="14"/>
        <v>0</v>
      </c>
      <c r="AE299" t="str">
        <f>IF($B299="","",IF(COUNTIF($B$5:$B299,$B299)=1,1,0))</f>
        <v/>
      </c>
      <c r="AF299" t="str">
        <f>IF(AE299=1,SUM($AE$5:AE299),"")</f>
        <v/>
      </c>
    </row>
    <row r="300" spans="27:32" ht="15" customHeight="1" x14ac:dyDescent="0.35">
      <c r="AA300" t="str">
        <f t="shared" si="12"/>
        <v/>
      </c>
      <c r="AB300" t="str">
        <f>IF($A300="","",IF(OR(Dashboard!$D$4="All",Dashboard!$D$4=$A300),IF(Dashboard!$G$4="All",SUM($C300:$V300),INDEX($C300:$V300,MATCH(Dashboard!$G$4,$C$4:$V$4,0))),0))</f>
        <v/>
      </c>
      <c r="AC300" t="str">
        <f t="shared" si="13"/>
        <v/>
      </c>
      <c r="AD300">
        <f t="shared" si="14"/>
        <v>0</v>
      </c>
      <c r="AE300" t="str">
        <f>IF($B300="","",IF(COUNTIF($B$5:$B300,$B300)=1,1,0))</f>
        <v/>
      </c>
      <c r="AF300" t="str">
        <f>IF(AE300=1,SUM($AE$5:AE300),"")</f>
        <v/>
      </c>
    </row>
    <row r="301" spans="27:32" ht="15" customHeight="1" x14ac:dyDescent="0.35">
      <c r="AA301" t="str">
        <f t="shared" si="12"/>
        <v/>
      </c>
      <c r="AB301" t="str">
        <f>IF($A301="","",IF(OR(Dashboard!$D$4="All",Dashboard!$D$4=$A301),IF(Dashboard!$G$4="All",SUM($C301:$V301),INDEX($C301:$V301,MATCH(Dashboard!$G$4,$C$4:$V$4,0))),0))</f>
        <v/>
      </c>
      <c r="AC301" t="str">
        <f t="shared" si="13"/>
        <v/>
      </c>
      <c r="AD301">
        <f t="shared" si="14"/>
        <v>0</v>
      </c>
      <c r="AE301" t="str">
        <f>IF($B301="","",IF(COUNTIF($B$5:$B301,$B301)=1,1,0))</f>
        <v/>
      </c>
      <c r="AF301" t="str">
        <f>IF(AE301=1,SUM($AE$5:AE301),"")</f>
        <v/>
      </c>
    </row>
    <row r="302" spans="27:32" ht="15" customHeight="1" x14ac:dyDescent="0.35">
      <c r="AA302" t="str">
        <f t="shared" si="12"/>
        <v/>
      </c>
      <c r="AB302" t="str">
        <f>IF($A302="","",IF(OR(Dashboard!$D$4="All",Dashboard!$D$4=$A302),IF(Dashboard!$G$4="All",SUM($C302:$V302),INDEX($C302:$V302,MATCH(Dashboard!$G$4,$C$4:$V$4,0))),0))</f>
        <v/>
      </c>
      <c r="AC302" t="str">
        <f t="shared" si="13"/>
        <v/>
      </c>
      <c r="AD302">
        <f t="shared" si="14"/>
        <v>0</v>
      </c>
      <c r="AE302" t="str">
        <f>IF($B302="","",IF(COUNTIF($B$5:$B302,$B302)=1,1,0))</f>
        <v/>
      </c>
      <c r="AF302" t="str">
        <f>IF(AE302=1,SUM($AE$5:AE302),"")</f>
        <v/>
      </c>
    </row>
    <row r="303" spans="27:32" ht="15" customHeight="1" x14ac:dyDescent="0.35">
      <c r="AA303" t="str">
        <f t="shared" si="12"/>
        <v/>
      </c>
      <c r="AB303" t="str">
        <f>IF($A303="","",IF(OR(Dashboard!$D$4="All",Dashboard!$D$4=$A303),IF(Dashboard!$G$4="All",SUM($C303:$V303),INDEX($C303:$V303,MATCH(Dashboard!$G$4,$C$4:$V$4,0))),0))</f>
        <v/>
      </c>
      <c r="AC303" t="str">
        <f t="shared" si="13"/>
        <v/>
      </c>
      <c r="AD303">
        <f t="shared" si="14"/>
        <v>0</v>
      </c>
      <c r="AE303" t="str">
        <f>IF($B303="","",IF(COUNTIF($B$5:$B303,$B303)=1,1,0))</f>
        <v/>
      </c>
      <c r="AF303" t="str">
        <f>IF(AE303=1,SUM($AE$5:AE303),"")</f>
        <v/>
      </c>
    </row>
    <row r="304" spans="27:32" ht="15" customHeight="1" x14ac:dyDescent="0.35">
      <c r="AA304" t="str">
        <f t="shared" si="12"/>
        <v/>
      </c>
      <c r="AB304" t="str">
        <f>IF($A304="","",IF(OR(Dashboard!$D$4="All",Dashboard!$D$4=$A304),IF(Dashboard!$G$4="All",SUM($C304:$V304),INDEX($C304:$V304,MATCH(Dashboard!$G$4,$C$4:$V$4,0))),0))</f>
        <v/>
      </c>
      <c r="AC304" t="str">
        <f t="shared" si="13"/>
        <v/>
      </c>
      <c r="AD304">
        <f t="shared" si="14"/>
        <v>0</v>
      </c>
      <c r="AE304" t="str">
        <f>IF($B304="","",IF(COUNTIF($B$5:$B304,$B304)=1,1,0))</f>
        <v/>
      </c>
      <c r="AF304" t="str">
        <f>IF(AE304=1,SUM($AE$5:AE304),"")</f>
        <v/>
      </c>
    </row>
    <row r="305" spans="27:32" ht="15" customHeight="1" x14ac:dyDescent="0.35">
      <c r="AA305" t="str">
        <f t="shared" si="12"/>
        <v/>
      </c>
      <c r="AB305" t="str">
        <f>IF($A305="","",IF(OR(Dashboard!$D$4="All",Dashboard!$D$4=$A305),IF(Dashboard!$G$4="All",SUM($C305:$V305),INDEX($C305:$V305,MATCH(Dashboard!$G$4,$C$4:$V$4,0))),0))</f>
        <v/>
      </c>
      <c r="AC305" t="str">
        <f t="shared" si="13"/>
        <v/>
      </c>
      <c r="AD305">
        <f t="shared" si="14"/>
        <v>0</v>
      </c>
      <c r="AE305" t="str">
        <f>IF($B305="","",IF(COUNTIF($B$5:$B305,$B305)=1,1,0))</f>
        <v/>
      </c>
      <c r="AF305" t="str">
        <f>IF(AE305=1,SUM($AE$5:AE305),"")</f>
        <v/>
      </c>
    </row>
    <row r="306" spans="27:32" ht="15" customHeight="1" x14ac:dyDescent="0.35">
      <c r="AA306" t="str">
        <f t="shared" si="12"/>
        <v/>
      </c>
      <c r="AB306" t="str">
        <f>IF($A306="","",IF(OR(Dashboard!$D$4="All",Dashboard!$D$4=$A306),IF(Dashboard!$G$4="All",SUM($C306:$V306),INDEX($C306:$V306,MATCH(Dashboard!$G$4,$C$4:$V$4,0))),0))</f>
        <v/>
      </c>
      <c r="AC306" t="str">
        <f t="shared" si="13"/>
        <v/>
      </c>
      <c r="AD306">
        <f t="shared" si="14"/>
        <v>0</v>
      </c>
      <c r="AE306" t="str">
        <f>IF($B306="","",IF(COUNTIF($B$5:$B306,$B306)=1,1,0))</f>
        <v/>
      </c>
      <c r="AF306" t="str">
        <f>IF(AE306=1,SUM($AE$5:AE306),"")</f>
        <v/>
      </c>
    </row>
    <row r="307" spans="27:32" ht="15" customHeight="1" x14ac:dyDescent="0.35">
      <c r="AA307" t="str">
        <f t="shared" si="12"/>
        <v/>
      </c>
      <c r="AB307" t="str">
        <f>IF($A307="","",IF(OR(Dashboard!$D$4="All",Dashboard!$D$4=$A307),IF(Dashboard!$G$4="All",SUM($C307:$V307),INDEX($C307:$V307,MATCH(Dashboard!$G$4,$C$4:$V$4,0))),0))</f>
        <v/>
      </c>
      <c r="AC307" t="str">
        <f t="shared" si="13"/>
        <v/>
      </c>
      <c r="AD307">
        <f t="shared" si="14"/>
        <v>0</v>
      </c>
      <c r="AE307" t="str">
        <f>IF($B307="","",IF(COUNTIF($B$5:$B307,$B307)=1,1,0))</f>
        <v/>
      </c>
      <c r="AF307" t="str">
        <f>IF(AE307=1,SUM($AE$5:AE307),"")</f>
        <v/>
      </c>
    </row>
    <row r="308" spans="27:32" ht="15" customHeight="1" x14ac:dyDescent="0.35">
      <c r="AA308" t="str">
        <f t="shared" si="12"/>
        <v/>
      </c>
      <c r="AB308" t="str">
        <f>IF($A308="","",IF(OR(Dashboard!$D$4="All",Dashboard!$D$4=$A308),IF(Dashboard!$G$4="All",SUM($C308:$V308),INDEX($C308:$V308,MATCH(Dashboard!$G$4,$C$4:$V$4,0))),0))</f>
        <v/>
      </c>
      <c r="AC308" t="str">
        <f t="shared" si="13"/>
        <v/>
      </c>
      <c r="AD308">
        <f t="shared" si="14"/>
        <v>0</v>
      </c>
      <c r="AE308" t="str">
        <f>IF($B308="","",IF(COUNTIF($B$5:$B308,$B308)=1,1,0))</f>
        <v/>
      </c>
      <c r="AF308" t="str">
        <f>IF(AE308=1,SUM($AE$5:AE308),"")</f>
        <v/>
      </c>
    </row>
    <row r="309" spans="27:32" ht="15" customHeight="1" x14ac:dyDescent="0.35">
      <c r="AA309" t="str">
        <f t="shared" si="12"/>
        <v/>
      </c>
      <c r="AB309" t="str">
        <f>IF($A309="","",IF(OR(Dashboard!$D$4="All",Dashboard!$D$4=$A309),IF(Dashboard!$G$4="All",SUM($C309:$V309),INDEX($C309:$V309,MATCH(Dashboard!$G$4,$C$4:$V$4,0))),0))</f>
        <v/>
      </c>
      <c r="AC309" t="str">
        <f t="shared" si="13"/>
        <v/>
      </c>
      <c r="AD309">
        <f t="shared" si="14"/>
        <v>0</v>
      </c>
      <c r="AE309" t="str">
        <f>IF($B309="","",IF(COUNTIF($B$5:$B309,$B309)=1,1,0))</f>
        <v/>
      </c>
      <c r="AF309" t="str">
        <f>IF(AE309=1,SUM($AE$5:AE309),"")</f>
        <v/>
      </c>
    </row>
    <row r="310" spans="27:32" ht="15" customHeight="1" x14ac:dyDescent="0.35">
      <c r="AA310" t="str">
        <f t="shared" si="12"/>
        <v/>
      </c>
      <c r="AB310" t="str">
        <f>IF($A310="","",IF(OR(Dashboard!$D$4="All",Dashboard!$D$4=$A310),IF(Dashboard!$G$4="All",SUM($C310:$V310),INDEX($C310:$V310,MATCH(Dashboard!$G$4,$C$4:$V$4,0))),0))</f>
        <v/>
      </c>
      <c r="AC310" t="str">
        <f t="shared" si="13"/>
        <v/>
      </c>
      <c r="AD310">
        <f t="shared" si="14"/>
        <v>0</v>
      </c>
      <c r="AE310" t="str">
        <f>IF($B310="","",IF(COUNTIF($B$5:$B310,$B310)=1,1,0))</f>
        <v/>
      </c>
      <c r="AF310" t="str">
        <f>IF(AE310=1,SUM($AE$5:AE310),"")</f>
        <v/>
      </c>
    </row>
    <row r="311" spans="27:32" ht="15" customHeight="1" x14ac:dyDescent="0.35">
      <c r="AA311" t="str">
        <f t="shared" si="12"/>
        <v/>
      </c>
      <c r="AB311" t="str">
        <f>IF($A311="","",IF(OR(Dashboard!$D$4="All",Dashboard!$D$4=$A311),IF(Dashboard!$G$4="All",SUM($C311:$V311),INDEX($C311:$V311,MATCH(Dashboard!$G$4,$C$4:$V$4,0))),0))</f>
        <v/>
      </c>
      <c r="AC311" t="str">
        <f t="shared" si="13"/>
        <v/>
      </c>
      <c r="AD311">
        <f t="shared" si="14"/>
        <v>0</v>
      </c>
      <c r="AE311" t="str">
        <f>IF($B311="","",IF(COUNTIF($B$5:$B311,$B311)=1,1,0))</f>
        <v/>
      </c>
      <c r="AF311" t="str">
        <f>IF(AE311=1,SUM($AE$5:AE311),"")</f>
        <v/>
      </c>
    </row>
    <row r="312" spans="27:32" ht="15" customHeight="1" x14ac:dyDescent="0.35">
      <c r="AA312" t="str">
        <f t="shared" si="12"/>
        <v/>
      </c>
      <c r="AB312" t="str">
        <f>IF($A312="","",IF(OR(Dashboard!$D$4="All",Dashboard!$D$4=$A312),IF(Dashboard!$G$4="All",SUM($C312:$V312),INDEX($C312:$V312,MATCH(Dashboard!$G$4,$C$4:$V$4,0))),0))</f>
        <v/>
      </c>
      <c r="AC312" t="str">
        <f t="shared" si="13"/>
        <v/>
      </c>
      <c r="AD312">
        <f t="shared" si="14"/>
        <v>0</v>
      </c>
      <c r="AE312" t="str">
        <f>IF($B312="","",IF(COUNTIF($B$5:$B312,$B312)=1,1,0))</f>
        <v/>
      </c>
      <c r="AF312" t="str">
        <f>IF(AE312=1,SUM($AE$5:AE312),"")</f>
        <v/>
      </c>
    </row>
    <row r="313" spans="27:32" ht="15" customHeight="1" x14ac:dyDescent="0.35">
      <c r="AA313" t="str">
        <f t="shared" si="12"/>
        <v/>
      </c>
      <c r="AB313" t="str">
        <f>IF($A313="","",IF(OR(Dashboard!$D$4="All",Dashboard!$D$4=$A313),IF(Dashboard!$G$4="All",SUM($C313:$V313),INDEX($C313:$V313,MATCH(Dashboard!$G$4,$C$4:$V$4,0))),0))</f>
        <v/>
      </c>
      <c r="AC313" t="str">
        <f t="shared" si="13"/>
        <v/>
      </c>
      <c r="AD313">
        <f t="shared" si="14"/>
        <v>0</v>
      </c>
      <c r="AE313" t="str">
        <f>IF($B313="","",IF(COUNTIF($B$5:$B313,$B313)=1,1,0))</f>
        <v/>
      </c>
      <c r="AF313" t="str">
        <f>IF(AE313=1,SUM($AE$5:AE313),"")</f>
        <v/>
      </c>
    </row>
    <row r="314" spans="27:32" ht="15" customHeight="1" x14ac:dyDescent="0.35">
      <c r="AA314" t="str">
        <f t="shared" si="12"/>
        <v/>
      </c>
      <c r="AB314" t="str">
        <f>IF($A314="","",IF(OR(Dashboard!$D$4="All",Dashboard!$D$4=$A314),IF(Dashboard!$G$4="All",SUM($C314:$V314),INDEX($C314:$V314,MATCH(Dashboard!$G$4,$C$4:$V$4,0))),0))</f>
        <v/>
      </c>
      <c r="AC314" t="str">
        <f t="shared" si="13"/>
        <v/>
      </c>
      <c r="AD314">
        <f t="shared" si="14"/>
        <v>0</v>
      </c>
      <c r="AE314" t="str">
        <f>IF($B314="","",IF(COUNTIF($B$5:$B314,$B314)=1,1,0))</f>
        <v/>
      </c>
      <c r="AF314" t="str">
        <f>IF(AE314=1,SUM($AE$5:AE314),"")</f>
        <v/>
      </c>
    </row>
    <row r="315" spans="27:32" ht="15" customHeight="1" x14ac:dyDescent="0.35">
      <c r="AA315" t="str">
        <f t="shared" si="12"/>
        <v/>
      </c>
      <c r="AB315" t="str">
        <f>IF($A315="","",IF(OR(Dashboard!$D$4="All",Dashboard!$D$4=$A315),IF(Dashboard!$G$4="All",SUM($C315:$V315),INDEX($C315:$V315,MATCH(Dashboard!$G$4,$C$4:$V$4,0))),0))</f>
        <v/>
      </c>
      <c r="AC315" t="str">
        <f t="shared" si="13"/>
        <v/>
      </c>
      <c r="AD315">
        <f t="shared" si="14"/>
        <v>0</v>
      </c>
      <c r="AE315" t="str">
        <f>IF($B315="","",IF(COUNTIF($B$5:$B315,$B315)=1,1,0))</f>
        <v/>
      </c>
      <c r="AF315" t="str">
        <f>IF(AE315=1,SUM($AE$5:AE315),"")</f>
        <v/>
      </c>
    </row>
    <row r="316" spans="27:32" ht="15" customHeight="1" x14ac:dyDescent="0.35">
      <c r="AA316" t="str">
        <f t="shared" si="12"/>
        <v/>
      </c>
      <c r="AB316" t="str">
        <f>IF($A316="","",IF(OR(Dashboard!$D$4="All",Dashboard!$D$4=$A316),IF(Dashboard!$G$4="All",SUM($C316:$V316),INDEX($C316:$V316,MATCH(Dashboard!$G$4,$C$4:$V$4,0))),0))</f>
        <v/>
      </c>
      <c r="AC316" t="str">
        <f t="shared" si="13"/>
        <v/>
      </c>
      <c r="AD316">
        <f t="shared" si="14"/>
        <v>0</v>
      </c>
      <c r="AE316" t="str">
        <f>IF($B316="","",IF(COUNTIF($B$5:$B316,$B316)=1,1,0))</f>
        <v/>
      </c>
      <c r="AF316" t="str">
        <f>IF(AE316=1,SUM($AE$5:AE316),"")</f>
        <v/>
      </c>
    </row>
    <row r="317" spans="27:32" ht="15" customHeight="1" x14ac:dyDescent="0.35">
      <c r="AA317" t="str">
        <f t="shared" si="12"/>
        <v/>
      </c>
      <c r="AB317" t="str">
        <f>IF($A317="","",IF(OR(Dashboard!$D$4="All",Dashboard!$D$4=$A317),IF(Dashboard!$G$4="All",SUM($C317:$V317),INDEX($C317:$V317,MATCH(Dashboard!$G$4,$C$4:$V$4,0))),0))</f>
        <v/>
      </c>
      <c r="AC317" t="str">
        <f t="shared" si="13"/>
        <v/>
      </c>
      <c r="AD317">
        <f t="shared" si="14"/>
        <v>0</v>
      </c>
      <c r="AE317" t="str">
        <f>IF($B317="","",IF(COUNTIF($B$5:$B317,$B317)=1,1,0))</f>
        <v/>
      </c>
      <c r="AF317" t="str">
        <f>IF(AE317=1,SUM($AE$5:AE317),"")</f>
        <v/>
      </c>
    </row>
    <row r="318" spans="27:32" ht="15" customHeight="1" x14ac:dyDescent="0.35">
      <c r="AA318" t="str">
        <f t="shared" si="12"/>
        <v/>
      </c>
      <c r="AB318" t="str">
        <f>IF($A318="","",IF(OR(Dashboard!$D$4="All",Dashboard!$D$4=$A318),IF(Dashboard!$G$4="All",SUM($C318:$V318),INDEX($C318:$V318,MATCH(Dashboard!$G$4,$C$4:$V$4,0))),0))</f>
        <v/>
      </c>
      <c r="AC318" t="str">
        <f t="shared" si="13"/>
        <v/>
      </c>
      <c r="AD318">
        <f t="shared" si="14"/>
        <v>0</v>
      </c>
      <c r="AE318" t="str">
        <f>IF($B318="","",IF(COUNTIF($B$5:$B318,$B318)=1,1,0))</f>
        <v/>
      </c>
      <c r="AF318" t="str">
        <f>IF(AE318=1,SUM($AE$5:AE318),"")</f>
        <v/>
      </c>
    </row>
    <row r="319" spans="27:32" ht="15" customHeight="1" x14ac:dyDescent="0.35">
      <c r="AA319" t="str">
        <f t="shared" si="12"/>
        <v/>
      </c>
      <c r="AB319" t="str">
        <f>IF($A319="","",IF(OR(Dashboard!$D$4="All",Dashboard!$D$4=$A319),IF(Dashboard!$G$4="All",SUM($C319:$V319),INDEX($C319:$V319,MATCH(Dashboard!$G$4,$C$4:$V$4,0))),0))</f>
        <v/>
      </c>
      <c r="AC319" t="str">
        <f t="shared" si="13"/>
        <v/>
      </c>
      <c r="AD319">
        <f t="shared" si="14"/>
        <v>0</v>
      </c>
      <c r="AE319" t="str">
        <f>IF($B319="","",IF(COUNTIF($B$5:$B319,$B319)=1,1,0))</f>
        <v/>
      </c>
      <c r="AF319" t="str">
        <f>IF(AE319=1,SUM($AE$5:AE319),"")</f>
        <v/>
      </c>
    </row>
    <row r="320" spans="27:32" ht="15" customHeight="1" x14ac:dyDescent="0.35">
      <c r="AA320" t="str">
        <f t="shared" si="12"/>
        <v/>
      </c>
      <c r="AB320" t="str">
        <f>IF($A320="","",IF(OR(Dashboard!$D$4="All",Dashboard!$D$4=$A320),IF(Dashboard!$G$4="All",SUM($C320:$V320),INDEX($C320:$V320,MATCH(Dashboard!$G$4,$C$4:$V$4,0))),0))</f>
        <v/>
      </c>
      <c r="AC320" t="str">
        <f t="shared" si="13"/>
        <v/>
      </c>
      <c r="AD320">
        <f t="shared" si="14"/>
        <v>0</v>
      </c>
      <c r="AE320" t="str">
        <f>IF($B320="","",IF(COUNTIF($B$5:$B320,$B320)=1,1,0))</f>
        <v/>
      </c>
      <c r="AF320" t="str">
        <f>IF(AE320=1,SUM($AE$5:AE320),"")</f>
        <v/>
      </c>
    </row>
    <row r="321" spans="27:32" ht="15" customHeight="1" x14ac:dyDescent="0.35">
      <c r="AA321" t="str">
        <f t="shared" si="12"/>
        <v/>
      </c>
      <c r="AB321" t="str">
        <f>IF($A321="","",IF(OR(Dashboard!$D$4="All",Dashboard!$D$4=$A321),IF(Dashboard!$G$4="All",SUM($C321:$V321),INDEX($C321:$V321,MATCH(Dashboard!$G$4,$C$4:$V$4,0))),0))</f>
        <v/>
      </c>
      <c r="AC321" t="str">
        <f t="shared" si="13"/>
        <v/>
      </c>
      <c r="AD321">
        <f t="shared" si="14"/>
        <v>0</v>
      </c>
      <c r="AE321" t="str">
        <f>IF($B321="","",IF(COUNTIF($B$5:$B321,$B321)=1,1,0))</f>
        <v/>
      </c>
      <c r="AF321" t="str">
        <f>IF(AE321=1,SUM($AE$5:AE321),"")</f>
        <v/>
      </c>
    </row>
    <row r="322" spans="27:32" ht="15" customHeight="1" x14ac:dyDescent="0.35">
      <c r="AA322" t="str">
        <f t="shared" si="12"/>
        <v/>
      </c>
      <c r="AB322" t="str">
        <f>IF($A322="","",IF(OR(Dashboard!$D$4="All",Dashboard!$D$4=$A322),IF(Dashboard!$G$4="All",SUM($C322:$V322),INDEX($C322:$V322,MATCH(Dashboard!$G$4,$C$4:$V$4,0))),0))</f>
        <v/>
      </c>
      <c r="AC322" t="str">
        <f t="shared" si="13"/>
        <v/>
      </c>
      <c r="AD322">
        <f t="shared" si="14"/>
        <v>0</v>
      </c>
      <c r="AE322" t="str">
        <f>IF($B322="","",IF(COUNTIF($B$5:$B322,$B322)=1,1,0))</f>
        <v/>
      </c>
      <c r="AF322" t="str">
        <f>IF(AE322=1,SUM($AE$5:AE322),"")</f>
        <v/>
      </c>
    </row>
    <row r="323" spans="27:32" ht="15" customHeight="1" x14ac:dyDescent="0.35">
      <c r="AA323" t="str">
        <f t="shared" si="12"/>
        <v/>
      </c>
      <c r="AB323" t="str">
        <f>IF($A323="","",IF(OR(Dashboard!$D$4="All",Dashboard!$D$4=$A323),IF(Dashboard!$G$4="All",SUM($C323:$V323),INDEX($C323:$V323,MATCH(Dashboard!$G$4,$C$4:$V$4,0))),0))</f>
        <v/>
      </c>
      <c r="AC323" t="str">
        <f t="shared" si="13"/>
        <v/>
      </c>
      <c r="AD323">
        <f t="shared" si="14"/>
        <v>0</v>
      </c>
      <c r="AE323" t="str">
        <f>IF($B323="","",IF(COUNTIF($B$5:$B323,$B323)=1,1,0))</f>
        <v/>
      </c>
      <c r="AF323" t="str">
        <f>IF(AE323=1,SUM($AE$5:AE323),"")</f>
        <v/>
      </c>
    </row>
    <row r="324" spans="27:32" ht="15" customHeight="1" x14ac:dyDescent="0.35">
      <c r="AA324" t="str">
        <f t="shared" si="12"/>
        <v/>
      </c>
      <c r="AB324" t="str">
        <f>IF($A324="","",IF(OR(Dashboard!$D$4="All",Dashboard!$D$4=$A324),IF(Dashboard!$G$4="All",SUM($C324:$V324),INDEX($C324:$V324,MATCH(Dashboard!$G$4,$C$4:$V$4,0))),0))</f>
        <v/>
      </c>
      <c r="AC324" t="str">
        <f t="shared" si="13"/>
        <v/>
      </c>
      <c r="AD324">
        <f t="shared" si="14"/>
        <v>0</v>
      </c>
      <c r="AE324" t="str">
        <f>IF($B324="","",IF(COUNTIF($B$5:$B324,$B324)=1,1,0))</f>
        <v/>
      </c>
      <c r="AF324" t="str">
        <f>IF(AE324=1,SUM($AE$5:AE324),"")</f>
        <v/>
      </c>
    </row>
    <row r="325" spans="27:32" ht="15" customHeight="1" x14ac:dyDescent="0.35">
      <c r="AA325" t="str">
        <f t="shared" ref="AA325:AA364" si="15">IF($A325="","",SUM($C325:$W325))</f>
        <v/>
      </c>
      <c r="AB325" t="str">
        <f>IF($A325="","",IF(OR(Dashboard!$D$4="All",Dashboard!$D$4=$A325),IF(Dashboard!$G$4="All",SUM($C325:$V325),INDEX($C325:$V325,MATCH(Dashboard!$G$4,$C$4:$V$4,0))),0))</f>
        <v/>
      </c>
      <c r="AC325" t="str">
        <f t="shared" ref="AC325:AC364" si="16">IF(AND($A325&lt;&gt;"",$AB325&gt;0),SUMPRODUCT(($AB$5:$AB$364&gt;0)*(ROW($AB$5:$AB$364)&lt;=ROW($AB325))),"")</f>
        <v/>
      </c>
      <c r="AD325">
        <f t="shared" ref="AD325:AD364" si="17">IF($A325="",0,SUM($C325:$V325))</f>
        <v>0</v>
      </c>
      <c r="AE325" t="str">
        <f>IF($B325="","",IF(COUNTIF($B$5:$B325,$B325)=1,1,0))</f>
        <v/>
      </c>
      <c r="AF325" t="str">
        <f>IF(AE325=1,SUM($AE$5:AE325),"")</f>
        <v/>
      </c>
    </row>
    <row r="326" spans="27:32" ht="15" customHeight="1" x14ac:dyDescent="0.35">
      <c r="AA326" t="str">
        <f t="shared" si="15"/>
        <v/>
      </c>
      <c r="AB326" t="str">
        <f>IF($A326="","",IF(OR(Dashboard!$D$4="All",Dashboard!$D$4=$A326),IF(Dashboard!$G$4="All",SUM($C326:$V326),INDEX($C326:$V326,MATCH(Dashboard!$G$4,$C$4:$V$4,0))),0))</f>
        <v/>
      </c>
      <c r="AC326" t="str">
        <f t="shared" si="16"/>
        <v/>
      </c>
      <c r="AD326">
        <f t="shared" si="17"/>
        <v>0</v>
      </c>
      <c r="AE326" t="str">
        <f>IF($B326="","",IF(COUNTIF($B$5:$B326,$B326)=1,1,0))</f>
        <v/>
      </c>
      <c r="AF326" t="str">
        <f>IF(AE326=1,SUM($AE$5:AE326),"")</f>
        <v/>
      </c>
    </row>
    <row r="327" spans="27:32" ht="15" customHeight="1" x14ac:dyDescent="0.35">
      <c r="AA327" t="str">
        <f t="shared" si="15"/>
        <v/>
      </c>
      <c r="AB327" t="str">
        <f>IF($A327="","",IF(OR(Dashboard!$D$4="All",Dashboard!$D$4=$A327),IF(Dashboard!$G$4="All",SUM($C327:$V327),INDEX($C327:$V327,MATCH(Dashboard!$G$4,$C$4:$V$4,0))),0))</f>
        <v/>
      </c>
      <c r="AC327" t="str">
        <f t="shared" si="16"/>
        <v/>
      </c>
      <c r="AD327">
        <f t="shared" si="17"/>
        <v>0</v>
      </c>
      <c r="AE327" t="str">
        <f>IF($B327="","",IF(COUNTIF($B$5:$B327,$B327)=1,1,0))</f>
        <v/>
      </c>
      <c r="AF327" t="str">
        <f>IF(AE327=1,SUM($AE$5:AE327),"")</f>
        <v/>
      </c>
    </row>
    <row r="328" spans="27:32" ht="15" customHeight="1" x14ac:dyDescent="0.35">
      <c r="AA328" t="str">
        <f t="shared" si="15"/>
        <v/>
      </c>
      <c r="AB328" t="str">
        <f>IF($A328="","",IF(OR(Dashboard!$D$4="All",Dashboard!$D$4=$A328),IF(Dashboard!$G$4="All",SUM($C328:$V328),INDEX($C328:$V328,MATCH(Dashboard!$G$4,$C$4:$V$4,0))),0))</f>
        <v/>
      </c>
      <c r="AC328" t="str">
        <f t="shared" si="16"/>
        <v/>
      </c>
      <c r="AD328">
        <f t="shared" si="17"/>
        <v>0</v>
      </c>
      <c r="AE328" t="str">
        <f>IF($B328="","",IF(COUNTIF($B$5:$B328,$B328)=1,1,0))</f>
        <v/>
      </c>
      <c r="AF328" t="str">
        <f>IF(AE328=1,SUM($AE$5:AE328),"")</f>
        <v/>
      </c>
    </row>
    <row r="329" spans="27:32" ht="15" customHeight="1" x14ac:dyDescent="0.35">
      <c r="AA329" t="str">
        <f t="shared" si="15"/>
        <v/>
      </c>
      <c r="AB329" t="str">
        <f>IF($A329="","",IF(OR(Dashboard!$D$4="All",Dashboard!$D$4=$A329),IF(Dashboard!$G$4="All",SUM($C329:$V329),INDEX($C329:$V329,MATCH(Dashboard!$G$4,$C$4:$V$4,0))),0))</f>
        <v/>
      </c>
      <c r="AC329" t="str">
        <f t="shared" si="16"/>
        <v/>
      </c>
      <c r="AD329">
        <f t="shared" si="17"/>
        <v>0</v>
      </c>
      <c r="AE329" t="str">
        <f>IF($B329="","",IF(COUNTIF($B$5:$B329,$B329)=1,1,0))</f>
        <v/>
      </c>
      <c r="AF329" t="str">
        <f>IF(AE329=1,SUM($AE$5:AE329),"")</f>
        <v/>
      </c>
    </row>
    <row r="330" spans="27:32" ht="15" customHeight="1" x14ac:dyDescent="0.35">
      <c r="AA330" t="str">
        <f t="shared" si="15"/>
        <v/>
      </c>
      <c r="AB330" t="str">
        <f>IF($A330="","",IF(OR(Dashboard!$D$4="All",Dashboard!$D$4=$A330),IF(Dashboard!$G$4="All",SUM($C330:$V330),INDEX($C330:$V330,MATCH(Dashboard!$G$4,$C$4:$V$4,0))),0))</f>
        <v/>
      </c>
      <c r="AC330" t="str">
        <f t="shared" si="16"/>
        <v/>
      </c>
      <c r="AD330">
        <f t="shared" si="17"/>
        <v>0</v>
      </c>
      <c r="AE330" t="str">
        <f>IF($B330="","",IF(COUNTIF($B$5:$B330,$B330)=1,1,0))</f>
        <v/>
      </c>
      <c r="AF330" t="str">
        <f>IF(AE330=1,SUM($AE$5:AE330),"")</f>
        <v/>
      </c>
    </row>
    <row r="331" spans="27:32" ht="15" customHeight="1" x14ac:dyDescent="0.35">
      <c r="AA331" t="str">
        <f t="shared" si="15"/>
        <v/>
      </c>
      <c r="AB331" t="str">
        <f>IF($A331="","",IF(OR(Dashboard!$D$4="All",Dashboard!$D$4=$A331),IF(Dashboard!$G$4="All",SUM($C331:$V331),INDEX($C331:$V331,MATCH(Dashboard!$G$4,$C$4:$V$4,0))),0))</f>
        <v/>
      </c>
      <c r="AC331" t="str">
        <f t="shared" si="16"/>
        <v/>
      </c>
      <c r="AD331">
        <f t="shared" si="17"/>
        <v>0</v>
      </c>
      <c r="AE331" t="str">
        <f>IF($B331="","",IF(COUNTIF($B$5:$B331,$B331)=1,1,0))</f>
        <v/>
      </c>
      <c r="AF331" t="str">
        <f>IF(AE331=1,SUM($AE$5:AE331),"")</f>
        <v/>
      </c>
    </row>
    <row r="332" spans="27:32" ht="15" customHeight="1" x14ac:dyDescent="0.35">
      <c r="AA332" t="str">
        <f t="shared" si="15"/>
        <v/>
      </c>
      <c r="AB332" t="str">
        <f>IF($A332="","",IF(OR(Dashboard!$D$4="All",Dashboard!$D$4=$A332),IF(Dashboard!$G$4="All",SUM($C332:$V332),INDEX($C332:$V332,MATCH(Dashboard!$G$4,$C$4:$V$4,0))),0))</f>
        <v/>
      </c>
      <c r="AC332" t="str">
        <f t="shared" si="16"/>
        <v/>
      </c>
      <c r="AD332">
        <f t="shared" si="17"/>
        <v>0</v>
      </c>
      <c r="AE332" t="str">
        <f>IF($B332="","",IF(COUNTIF($B$5:$B332,$B332)=1,1,0))</f>
        <v/>
      </c>
      <c r="AF332" t="str">
        <f>IF(AE332=1,SUM($AE$5:AE332),"")</f>
        <v/>
      </c>
    </row>
    <row r="333" spans="27:32" ht="15" customHeight="1" x14ac:dyDescent="0.35">
      <c r="AA333" t="str">
        <f t="shared" si="15"/>
        <v/>
      </c>
      <c r="AB333" t="str">
        <f>IF($A333="","",IF(OR(Dashboard!$D$4="All",Dashboard!$D$4=$A333),IF(Dashboard!$G$4="All",SUM($C333:$V333),INDEX($C333:$V333,MATCH(Dashboard!$G$4,$C$4:$V$4,0))),0))</f>
        <v/>
      </c>
      <c r="AC333" t="str">
        <f t="shared" si="16"/>
        <v/>
      </c>
      <c r="AD333">
        <f t="shared" si="17"/>
        <v>0</v>
      </c>
      <c r="AE333" t="str">
        <f>IF($B333="","",IF(COUNTIF($B$5:$B333,$B333)=1,1,0))</f>
        <v/>
      </c>
      <c r="AF333" t="str">
        <f>IF(AE333=1,SUM($AE$5:AE333),"")</f>
        <v/>
      </c>
    </row>
    <row r="334" spans="27:32" ht="15" customHeight="1" x14ac:dyDescent="0.35">
      <c r="AA334" t="str">
        <f t="shared" si="15"/>
        <v/>
      </c>
      <c r="AB334" t="str">
        <f>IF($A334="","",IF(OR(Dashboard!$D$4="All",Dashboard!$D$4=$A334),IF(Dashboard!$G$4="All",SUM($C334:$V334),INDEX($C334:$V334,MATCH(Dashboard!$G$4,$C$4:$V$4,0))),0))</f>
        <v/>
      </c>
      <c r="AC334" t="str">
        <f t="shared" si="16"/>
        <v/>
      </c>
      <c r="AD334">
        <f t="shared" si="17"/>
        <v>0</v>
      </c>
      <c r="AE334" t="str">
        <f>IF($B334="","",IF(COUNTIF($B$5:$B334,$B334)=1,1,0))</f>
        <v/>
      </c>
      <c r="AF334" t="str">
        <f>IF(AE334=1,SUM($AE$5:AE334),"")</f>
        <v/>
      </c>
    </row>
    <row r="335" spans="27:32" ht="15" customHeight="1" x14ac:dyDescent="0.35">
      <c r="AA335" t="str">
        <f t="shared" si="15"/>
        <v/>
      </c>
      <c r="AB335" t="str">
        <f>IF($A335="","",IF(OR(Dashboard!$D$4="All",Dashboard!$D$4=$A335),IF(Dashboard!$G$4="All",SUM($C335:$V335),INDEX($C335:$V335,MATCH(Dashboard!$G$4,$C$4:$V$4,0))),0))</f>
        <v/>
      </c>
      <c r="AC335" t="str">
        <f t="shared" si="16"/>
        <v/>
      </c>
      <c r="AD335">
        <f t="shared" si="17"/>
        <v>0</v>
      </c>
      <c r="AE335" t="str">
        <f>IF($B335="","",IF(COUNTIF($B$5:$B335,$B335)=1,1,0))</f>
        <v/>
      </c>
      <c r="AF335" t="str">
        <f>IF(AE335=1,SUM($AE$5:AE335),"")</f>
        <v/>
      </c>
    </row>
    <row r="336" spans="27:32" ht="15" customHeight="1" x14ac:dyDescent="0.35">
      <c r="AA336" t="str">
        <f t="shared" si="15"/>
        <v/>
      </c>
      <c r="AB336" t="str">
        <f>IF($A336="","",IF(OR(Dashboard!$D$4="All",Dashboard!$D$4=$A336),IF(Dashboard!$G$4="All",SUM($C336:$V336),INDEX($C336:$V336,MATCH(Dashboard!$G$4,$C$4:$V$4,0))),0))</f>
        <v/>
      </c>
      <c r="AC336" t="str">
        <f t="shared" si="16"/>
        <v/>
      </c>
      <c r="AD336">
        <f t="shared" si="17"/>
        <v>0</v>
      </c>
      <c r="AE336" t="str">
        <f>IF($B336="","",IF(COUNTIF($B$5:$B336,$B336)=1,1,0))</f>
        <v/>
      </c>
      <c r="AF336" t="str">
        <f>IF(AE336=1,SUM($AE$5:AE336),"")</f>
        <v/>
      </c>
    </row>
    <row r="337" spans="27:32" ht="15" customHeight="1" x14ac:dyDescent="0.35">
      <c r="AA337" t="str">
        <f t="shared" si="15"/>
        <v/>
      </c>
      <c r="AB337" t="str">
        <f>IF($A337="","",IF(OR(Dashboard!$D$4="All",Dashboard!$D$4=$A337),IF(Dashboard!$G$4="All",SUM($C337:$V337),INDEX($C337:$V337,MATCH(Dashboard!$G$4,$C$4:$V$4,0))),0))</f>
        <v/>
      </c>
      <c r="AC337" t="str">
        <f t="shared" si="16"/>
        <v/>
      </c>
      <c r="AD337">
        <f t="shared" si="17"/>
        <v>0</v>
      </c>
      <c r="AE337" t="str">
        <f>IF($B337="","",IF(COUNTIF($B$5:$B337,$B337)=1,1,0))</f>
        <v/>
      </c>
      <c r="AF337" t="str">
        <f>IF(AE337=1,SUM($AE$5:AE337),"")</f>
        <v/>
      </c>
    </row>
    <row r="338" spans="27:32" ht="15" customHeight="1" x14ac:dyDescent="0.35">
      <c r="AA338" t="str">
        <f t="shared" si="15"/>
        <v/>
      </c>
      <c r="AB338" t="str">
        <f>IF($A338="","",IF(OR(Dashboard!$D$4="All",Dashboard!$D$4=$A338),IF(Dashboard!$G$4="All",SUM($C338:$V338),INDEX($C338:$V338,MATCH(Dashboard!$G$4,$C$4:$V$4,0))),0))</f>
        <v/>
      </c>
      <c r="AC338" t="str">
        <f t="shared" si="16"/>
        <v/>
      </c>
      <c r="AD338">
        <f t="shared" si="17"/>
        <v>0</v>
      </c>
      <c r="AE338" t="str">
        <f>IF($B338="","",IF(COUNTIF($B$5:$B338,$B338)=1,1,0))</f>
        <v/>
      </c>
      <c r="AF338" t="str">
        <f>IF(AE338=1,SUM($AE$5:AE338),"")</f>
        <v/>
      </c>
    </row>
    <row r="339" spans="27:32" ht="15" customHeight="1" x14ac:dyDescent="0.35">
      <c r="AA339" t="str">
        <f t="shared" si="15"/>
        <v/>
      </c>
      <c r="AB339" t="str">
        <f>IF($A339="","",IF(OR(Dashboard!$D$4="All",Dashboard!$D$4=$A339),IF(Dashboard!$G$4="All",SUM($C339:$V339),INDEX($C339:$V339,MATCH(Dashboard!$G$4,$C$4:$V$4,0))),0))</f>
        <v/>
      </c>
      <c r="AC339" t="str">
        <f t="shared" si="16"/>
        <v/>
      </c>
      <c r="AD339">
        <f t="shared" si="17"/>
        <v>0</v>
      </c>
      <c r="AE339" t="str">
        <f>IF($B339="","",IF(COUNTIF($B$5:$B339,$B339)=1,1,0))</f>
        <v/>
      </c>
      <c r="AF339" t="str">
        <f>IF(AE339=1,SUM($AE$5:AE339),"")</f>
        <v/>
      </c>
    </row>
    <row r="340" spans="27:32" ht="15" customHeight="1" x14ac:dyDescent="0.35">
      <c r="AA340" t="str">
        <f t="shared" si="15"/>
        <v/>
      </c>
      <c r="AB340" t="str">
        <f>IF($A340="","",IF(OR(Dashboard!$D$4="All",Dashboard!$D$4=$A340),IF(Dashboard!$G$4="All",SUM($C340:$V340),INDEX($C340:$V340,MATCH(Dashboard!$G$4,$C$4:$V$4,0))),0))</f>
        <v/>
      </c>
      <c r="AC340" t="str">
        <f t="shared" si="16"/>
        <v/>
      </c>
      <c r="AD340">
        <f t="shared" si="17"/>
        <v>0</v>
      </c>
      <c r="AE340" t="str">
        <f>IF($B340="","",IF(COUNTIF($B$5:$B340,$B340)=1,1,0))</f>
        <v/>
      </c>
      <c r="AF340" t="str">
        <f>IF(AE340=1,SUM($AE$5:AE340),"")</f>
        <v/>
      </c>
    </row>
    <row r="341" spans="27:32" ht="15" customHeight="1" x14ac:dyDescent="0.35">
      <c r="AA341" t="str">
        <f t="shared" si="15"/>
        <v/>
      </c>
      <c r="AB341" t="str">
        <f>IF($A341="","",IF(OR(Dashboard!$D$4="All",Dashboard!$D$4=$A341),IF(Dashboard!$G$4="All",SUM($C341:$V341),INDEX($C341:$V341,MATCH(Dashboard!$G$4,$C$4:$V$4,0))),0))</f>
        <v/>
      </c>
      <c r="AC341" t="str">
        <f t="shared" si="16"/>
        <v/>
      </c>
      <c r="AD341">
        <f t="shared" si="17"/>
        <v>0</v>
      </c>
      <c r="AE341" t="str">
        <f>IF($B341="","",IF(COUNTIF($B$5:$B341,$B341)=1,1,0))</f>
        <v/>
      </c>
      <c r="AF341" t="str">
        <f>IF(AE341=1,SUM($AE$5:AE341),"")</f>
        <v/>
      </c>
    </row>
    <row r="342" spans="27:32" ht="15" customHeight="1" x14ac:dyDescent="0.35">
      <c r="AA342" t="str">
        <f t="shared" si="15"/>
        <v/>
      </c>
      <c r="AB342" t="str">
        <f>IF($A342="","",IF(OR(Dashboard!$D$4="All",Dashboard!$D$4=$A342),IF(Dashboard!$G$4="All",SUM($C342:$V342),INDEX($C342:$V342,MATCH(Dashboard!$G$4,$C$4:$V$4,0))),0))</f>
        <v/>
      </c>
      <c r="AC342" t="str">
        <f t="shared" si="16"/>
        <v/>
      </c>
      <c r="AD342">
        <f t="shared" si="17"/>
        <v>0</v>
      </c>
      <c r="AE342" t="str">
        <f>IF($B342="","",IF(COUNTIF($B$5:$B342,$B342)=1,1,0))</f>
        <v/>
      </c>
      <c r="AF342" t="str">
        <f>IF(AE342=1,SUM($AE$5:AE342),"")</f>
        <v/>
      </c>
    </row>
    <row r="343" spans="27:32" ht="15" customHeight="1" x14ac:dyDescent="0.35">
      <c r="AA343" t="str">
        <f t="shared" si="15"/>
        <v/>
      </c>
      <c r="AB343" t="str">
        <f>IF($A343="","",IF(OR(Dashboard!$D$4="All",Dashboard!$D$4=$A343),IF(Dashboard!$G$4="All",SUM($C343:$V343),INDEX($C343:$V343,MATCH(Dashboard!$G$4,$C$4:$V$4,0))),0))</f>
        <v/>
      </c>
      <c r="AC343" t="str">
        <f t="shared" si="16"/>
        <v/>
      </c>
      <c r="AD343">
        <f t="shared" si="17"/>
        <v>0</v>
      </c>
      <c r="AE343" t="str">
        <f>IF($B343="","",IF(COUNTIF($B$5:$B343,$B343)=1,1,0))</f>
        <v/>
      </c>
      <c r="AF343" t="str">
        <f>IF(AE343=1,SUM($AE$5:AE343),"")</f>
        <v/>
      </c>
    </row>
    <row r="344" spans="27:32" ht="15" customHeight="1" x14ac:dyDescent="0.35">
      <c r="AA344" t="str">
        <f t="shared" si="15"/>
        <v/>
      </c>
      <c r="AB344" t="str">
        <f>IF($A344="","",IF(OR(Dashboard!$D$4="All",Dashboard!$D$4=$A344),IF(Dashboard!$G$4="All",SUM($C344:$V344),INDEX($C344:$V344,MATCH(Dashboard!$G$4,$C$4:$V$4,0))),0))</f>
        <v/>
      </c>
      <c r="AC344" t="str">
        <f t="shared" si="16"/>
        <v/>
      </c>
      <c r="AD344">
        <f t="shared" si="17"/>
        <v>0</v>
      </c>
      <c r="AE344" t="str">
        <f>IF($B344="","",IF(COUNTIF($B$5:$B344,$B344)=1,1,0))</f>
        <v/>
      </c>
      <c r="AF344" t="str">
        <f>IF(AE344=1,SUM($AE$5:AE344),"")</f>
        <v/>
      </c>
    </row>
    <row r="345" spans="27:32" ht="15" customHeight="1" x14ac:dyDescent="0.35">
      <c r="AA345" t="str">
        <f t="shared" si="15"/>
        <v/>
      </c>
      <c r="AB345" t="str">
        <f>IF($A345="","",IF(OR(Dashboard!$D$4="All",Dashboard!$D$4=$A345),IF(Dashboard!$G$4="All",SUM($C345:$V345),INDEX($C345:$V345,MATCH(Dashboard!$G$4,$C$4:$V$4,0))),0))</f>
        <v/>
      </c>
      <c r="AC345" t="str">
        <f t="shared" si="16"/>
        <v/>
      </c>
      <c r="AD345">
        <f t="shared" si="17"/>
        <v>0</v>
      </c>
      <c r="AE345" t="str">
        <f>IF($B345="","",IF(COUNTIF($B$5:$B345,$B345)=1,1,0))</f>
        <v/>
      </c>
      <c r="AF345" t="str">
        <f>IF(AE345=1,SUM($AE$5:AE345),"")</f>
        <v/>
      </c>
    </row>
    <row r="346" spans="27:32" ht="15" customHeight="1" x14ac:dyDescent="0.35">
      <c r="AA346" t="str">
        <f t="shared" si="15"/>
        <v/>
      </c>
      <c r="AB346" t="str">
        <f>IF($A346="","",IF(OR(Dashboard!$D$4="All",Dashboard!$D$4=$A346),IF(Dashboard!$G$4="All",SUM($C346:$V346),INDEX($C346:$V346,MATCH(Dashboard!$G$4,$C$4:$V$4,0))),0))</f>
        <v/>
      </c>
      <c r="AC346" t="str">
        <f t="shared" si="16"/>
        <v/>
      </c>
      <c r="AD346">
        <f t="shared" si="17"/>
        <v>0</v>
      </c>
      <c r="AE346" t="str">
        <f>IF($B346="","",IF(COUNTIF($B$5:$B346,$B346)=1,1,0))</f>
        <v/>
      </c>
      <c r="AF346" t="str">
        <f>IF(AE346=1,SUM($AE$5:AE346),"")</f>
        <v/>
      </c>
    </row>
    <row r="347" spans="27:32" ht="15" customHeight="1" x14ac:dyDescent="0.35">
      <c r="AA347" t="str">
        <f t="shared" si="15"/>
        <v/>
      </c>
      <c r="AB347" t="str">
        <f>IF($A347="","",IF(OR(Dashboard!$D$4="All",Dashboard!$D$4=$A347),IF(Dashboard!$G$4="All",SUM($C347:$V347),INDEX($C347:$V347,MATCH(Dashboard!$G$4,$C$4:$V$4,0))),0))</f>
        <v/>
      </c>
      <c r="AC347" t="str">
        <f t="shared" si="16"/>
        <v/>
      </c>
      <c r="AD347">
        <f t="shared" si="17"/>
        <v>0</v>
      </c>
      <c r="AE347" t="str">
        <f>IF($B347="","",IF(COUNTIF($B$5:$B347,$B347)=1,1,0))</f>
        <v/>
      </c>
      <c r="AF347" t="str">
        <f>IF(AE347=1,SUM($AE$5:AE347),"")</f>
        <v/>
      </c>
    </row>
    <row r="348" spans="27:32" ht="15" customHeight="1" x14ac:dyDescent="0.35">
      <c r="AA348" t="str">
        <f t="shared" si="15"/>
        <v/>
      </c>
      <c r="AB348" t="str">
        <f>IF($A348="","",IF(OR(Dashboard!$D$4="All",Dashboard!$D$4=$A348),IF(Dashboard!$G$4="All",SUM($C348:$V348),INDEX($C348:$V348,MATCH(Dashboard!$G$4,$C$4:$V$4,0))),0))</f>
        <v/>
      </c>
      <c r="AC348" t="str">
        <f t="shared" si="16"/>
        <v/>
      </c>
      <c r="AD348">
        <f t="shared" si="17"/>
        <v>0</v>
      </c>
      <c r="AE348" t="str">
        <f>IF($B348="","",IF(COUNTIF($B$5:$B348,$B348)=1,1,0))</f>
        <v/>
      </c>
      <c r="AF348" t="str">
        <f>IF(AE348=1,SUM($AE$5:AE348),"")</f>
        <v/>
      </c>
    </row>
    <row r="349" spans="27:32" ht="15" customHeight="1" x14ac:dyDescent="0.35">
      <c r="AA349" t="str">
        <f t="shared" si="15"/>
        <v/>
      </c>
      <c r="AB349" t="str">
        <f>IF($A349="","",IF(OR(Dashboard!$D$4="All",Dashboard!$D$4=$A349),IF(Dashboard!$G$4="All",SUM($C349:$V349),INDEX($C349:$V349,MATCH(Dashboard!$G$4,$C$4:$V$4,0))),0))</f>
        <v/>
      </c>
      <c r="AC349" t="str">
        <f t="shared" si="16"/>
        <v/>
      </c>
      <c r="AD349">
        <f t="shared" si="17"/>
        <v>0</v>
      </c>
      <c r="AE349" t="str">
        <f>IF($B349="","",IF(COUNTIF($B$5:$B349,$B349)=1,1,0))</f>
        <v/>
      </c>
      <c r="AF349" t="str">
        <f>IF(AE349=1,SUM($AE$5:AE349),"")</f>
        <v/>
      </c>
    </row>
    <row r="350" spans="27:32" ht="15" customHeight="1" x14ac:dyDescent="0.35">
      <c r="AA350" t="str">
        <f t="shared" si="15"/>
        <v/>
      </c>
      <c r="AB350" t="str">
        <f>IF($A350="","",IF(OR(Dashboard!$D$4="All",Dashboard!$D$4=$A350),IF(Dashboard!$G$4="All",SUM($C350:$V350),INDEX($C350:$V350,MATCH(Dashboard!$G$4,$C$4:$V$4,0))),0))</f>
        <v/>
      </c>
      <c r="AC350" t="str">
        <f t="shared" si="16"/>
        <v/>
      </c>
      <c r="AD350">
        <f t="shared" si="17"/>
        <v>0</v>
      </c>
      <c r="AE350" t="str">
        <f>IF($B350="","",IF(COUNTIF($B$5:$B350,$B350)=1,1,0))</f>
        <v/>
      </c>
      <c r="AF350" t="str">
        <f>IF(AE350=1,SUM($AE$5:AE350),"")</f>
        <v/>
      </c>
    </row>
    <row r="351" spans="27:32" ht="15" customHeight="1" x14ac:dyDescent="0.35">
      <c r="AA351" t="str">
        <f t="shared" si="15"/>
        <v/>
      </c>
      <c r="AB351" t="str">
        <f>IF($A351="","",IF(OR(Dashboard!$D$4="All",Dashboard!$D$4=$A351),IF(Dashboard!$G$4="All",SUM($C351:$V351),INDEX($C351:$V351,MATCH(Dashboard!$G$4,$C$4:$V$4,0))),0))</f>
        <v/>
      </c>
      <c r="AC351" t="str">
        <f t="shared" si="16"/>
        <v/>
      </c>
      <c r="AD351">
        <f t="shared" si="17"/>
        <v>0</v>
      </c>
      <c r="AE351" t="str">
        <f>IF($B351="","",IF(COUNTIF($B$5:$B351,$B351)=1,1,0))</f>
        <v/>
      </c>
      <c r="AF351" t="str">
        <f>IF(AE351=1,SUM($AE$5:AE351),"")</f>
        <v/>
      </c>
    </row>
    <row r="352" spans="27:32" ht="15" customHeight="1" x14ac:dyDescent="0.35">
      <c r="AA352" t="str">
        <f t="shared" si="15"/>
        <v/>
      </c>
      <c r="AB352" t="str">
        <f>IF($A352="","",IF(OR(Dashboard!$D$4="All",Dashboard!$D$4=$A352),IF(Dashboard!$G$4="All",SUM($C352:$V352),INDEX($C352:$V352,MATCH(Dashboard!$G$4,$C$4:$V$4,0))),0))</f>
        <v/>
      </c>
      <c r="AC352" t="str">
        <f t="shared" si="16"/>
        <v/>
      </c>
      <c r="AD352">
        <f t="shared" si="17"/>
        <v>0</v>
      </c>
      <c r="AE352" t="str">
        <f>IF($B352="","",IF(COUNTIF($B$5:$B352,$B352)=1,1,0))</f>
        <v/>
      </c>
      <c r="AF352" t="str">
        <f>IF(AE352=1,SUM($AE$5:AE352),"")</f>
        <v/>
      </c>
    </row>
    <row r="353" spans="27:32" ht="15" customHeight="1" x14ac:dyDescent="0.35">
      <c r="AA353" t="str">
        <f t="shared" si="15"/>
        <v/>
      </c>
      <c r="AB353" t="str">
        <f>IF($A353="","",IF(OR(Dashboard!$D$4="All",Dashboard!$D$4=$A353),IF(Dashboard!$G$4="All",SUM($C353:$V353),INDEX($C353:$V353,MATCH(Dashboard!$G$4,$C$4:$V$4,0))),0))</f>
        <v/>
      </c>
      <c r="AC353" t="str">
        <f t="shared" si="16"/>
        <v/>
      </c>
      <c r="AD353">
        <f t="shared" si="17"/>
        <v>0</v>
      </c>
      <c r="AE353" t="str">
        <f>IF($B353="","",IF(COUNTIF($B$5:$B353,$B353)=1,1,0))</f>
        <v/>
      </c>
      <c r="AF353" t="str">
        <f>IF(AE353=1,SUM($AE$5:AE353),"")</f>
        <v/>
      </c>
    </row>
    <row r="354" spans="27:32" ht="15" customHeight="1" x14ac:dyDescent="0.35">
      <c r="AA354" t="str">
        <f t="shared" si="15"/>
        <v/>
      </c>
      <c r="AB354" t="str">
        <f>IF($A354="","",IF(OR(Dashboard!$D$4="All",Dashboard!$D$4=$A354),IF(Dashboard!$G$4="All",SUM($C354:$V354),INDEX($C354:$V354,MATCH(Dashboard!$G$4,$C$4:$V$4,0))),0))</f>
        <v/>
      </c>
      <c r="AC354" t="str">
        <f t="shared" si="16"/>
        <v/>
      </c>
      <c r="AD354">
        <f t="shared" si="17"/>
        <v>0</v>
      </c>
      <c r="AE354" t="str">
        <f>IF($B354="","",IF(COUNTIF($B$5:$B354,$B354)=1,1,0))</f>
        <v/>
      </c>
      <c r="AF354" t="str">
        <f>IF(AE354=1,SUM($AE$5:AE354),"")</f>
        <v/>
      </c>
    </row>
    <row r="355" spans="27:32" ht="15" customHeight="1" x14ac:dyDescent="0.35">
      <c r="AA355" t="str">
        <f t="shared" si="15"/>
        <v/>
      </c>
      <c r="AB355" t="str">
        <f>IF($A355="","",IF(OR(Dashboard!$D$4="All",Dashboard!$D$4=$A355),IF(Dashboard!$G$4="All",SUM($C355:$V355),INDEX($C355:$V355,MATCH(Dashboard!$G$4,$C$4:$V$4,0))),0))</f>
        <v/>
      </c>
      <c r="AC355" t="str">
        <f t="shared" si="16"/>
        <v/>
      </c>
      <c r="AD355">
        <f t="shared" si="17"/>
        <v>0</v>
      </c>
      <c r="AE355" t="str">
        <f>IF($B355="","",IF(COUNTIF($B$5:$B355,$B355)=1,1,0))</f>
        <v/>
      </c>
      <c r="AF355" t="str">
        <f>IF(AE355=1,SUM($AE$5:AE355),"")</f>
        <v/>
      </c>
    </row>
    <row r="356" spans="27:32" ht="15" customHeight="1" x14ac:dyDescent="0.35">
      <c r="AA356" t="str">
        <f t="shared" si="15"/>
        <v/>
      </c>
      <c r="AB356" t="str">
        <f>IF($A356="","",IF(OR(Dashboard!$D$4="All",Dashboard!$D$4=$A356),IF(Dashboard!$G$4="All",SUM($C356:$V356),INDEX($C356:$V356,MATCH(Dashboard!$G$4,$C$4:$V$4,0))),0))</f>
        <v/>
      </c>
      <c r="AC356" t="str">
        <f t="shared" si="16"/>
        <v/>
      </c>
      <c r="AD356">
        <f t="shared" si="17"/>
        <v>0</v>
      </c>
      <c r="AE356" t="str">
        <f>IF($B356="","",IF(COUNTIF($B$5:$B356,$B356)=1,1,0))</f>
        <v/>
      </c>
      <c r="AF356" t="str">
        <f>IF(AE356=1,SUM($AE$5:AE356),"")</f>
        <v/>
      </c>
    </row>
    <row r="357" spans="27:32" ht="15" customHeight="1" x14ac:dyDescent="0.35">
      <c r="AA357" t="str">
        <f t="shared" si="15"/>
        <v/>
      </c>
      <c r="AB357" t="str">
        <f>IF($A357="","",IF(OR(Dashboard!$D$4="All",Dashboard!$D$4=$A357),IF(Dashboard!$G$4="All",SUM($C357:$V357),INDEX($C357:$V357,MATCH(Dashboard!$G$4,$C$4:$V$4,0))),0))</f>
        <v/>
      </c>
      <c r="AC357" t="str">
        <f t="shared" si="16"/>
        <v/>
      </c>
      <c r="AD357">
        <f t="shared" si="17"/>
        <v>0</v>
      </c>
      <c r="AE357" t="str">
        <f>IF($B357="","",IF(COUNTIF($B$5:$B357,$B357)=1,1,0))</f>
        <v/>
      </c>
      <c r="AF357" t="str">
        <f>IF(AE357=1,SUM($AE$5:AE357),"")</f>
        <v/>
      </c>
    </row>
    <row r="358" spans="27:32" ht="15" customHeight="1" x14ac:dyDescent="0.35">
      <c r="AA358" t="str">
        <f t="shared" si="15"/>
        <v/>
      </c>
      <c r="AB358" t="str">
        <f>IF($A358="","",IF(OR(Dashboard!$D$4="All",Dashboard!$D$4=$A358),IF(Dashboard!$G$4="All",SUM($C358:$V358),INDEX($C358:$V358,MATCH(Dashboard!$G$4,$C$4:$V$4,0))),0))</f>
        <v/>
      </c>
      <c r="AC358" t="str">
        <f t="shared" si="16"/>
        <v/>
      </c>
      <c r="AD358">
        <f t="shared" si="17"/>
        <v>0</v>
      </c>
      <c r="AE358" t="str">
        <f>IF($B358="","",IF(COUNTIF($B$5:$B358,$B358)=1,1,0))</f>
        <v/>
      </c>
      <c r="AF358" t="str">
        <f>IF(AE358=1,SUM($AE$5:AE358),"")</f>
        <v/>
      </c>
    </row>
    <row r="359" spans="27:32" ht="15" customHeight="1" x14ac:dyDescent="0.35">
      <c r="AA359" t="str">
        <f t="shared" si="15"/>
        <v/>
      </c>
      <c r="AB359" t="str">
        <f>IF($A359="","",IF(OR(Dashboard!$D$4="All",Dashboard!$D$4=$A359),IF(Dashboard!$G$4="All",SUM($C359:$V359),INDEX($C359:$V359,MATCH(Dashboard!$G$4,$C$4:$V$4,0))),0))</f>
        <v/>
      </c>
      <c r="AC359" t="str">
        <f t="shared" si="16"/>
        <v/>
      </c>
      <c r="AD359">
        <f t="shared" si="17"/>
        <v>0</v>
      </c>
      <c r="AE359" t="str">
        <f>IF($B359="","",IF(COUNTIF($B$5:$B359,$B359)=1,1,0))</f>
        <v/>
      </c>
      <c r="AF359" t="str">
        <f>IF(AE359=1,SUM($AE$5:AE359),"")</f>
        <v/>
      </c>
    </row>
    <row r="360" spans="27:32" ht="15" customHeight="1" x14ac:dyDescent="0.35">
      <c r="AA360" t="str">
        <f t="shared" si="15"/>
        <v/>
      </c>
      <c r="AB360" t="str">
        <f>IF($A360="","",IF(OR(Dashboard!$D$4="All",Dashboard!$D$4=$A360),IF(Dashboard!$G$4="All",SUM($C360:$V360),INDEX($C360:$V360,MATCH(Dashboard!$G$4,$C$4:$V$4,0))),0))</f>
        <v/>
      </c>
      <c r="AC360" t="str">
        <f t="shared" si="16"/>
        <v/>
      </c>
      <c r="AD360">
        <f t="shared" si="17"/>
        <v>0</v>
      </c>
      <c r="AE360" t="str">
        <f>IF($B360="","",IF(COUNTIF($B$5:$B360,$B360)=1,1,0))</f>
        <v/>
      </c>
      <c r="AF360" t="str">
        <f>IF(AE360=1,SUM($AE$5:AE360),"")</f>
        <v/>
      </c>
    </row>
    <row r="361" spans="27:32" ht="15" customHeight="1" x14ac:dyDescent="0.35">
      <c r="AA361" t="str">
        <f t="shared" si="15"/>
        <v/>
      </c>
      <c r="AB361" t="str">
        <f>IF($A361="","",IF(OR(Dashboard!$D$4="All",Dashboard!$D$4=$A361),IF(Dashboard!$G$4="All",SUM($C361:$V361),INDEX($C361:$V361,MATCH(Dashboard!$G$4,$C$4:$V$4,0))),0))</f>
        <v/>
      </c>
      <c r="AC361" t="str">
        <f t="shared" si="16"/>
        <v/>
      </c>
      <c r="AD361">
        <f t="shared" si="17"/>
        <v>0</v>
      </c>
      <c r="AE361" t="str">
        <f>IF($B361="","",IF(COUNTIF($B$5:$B361,$B361)=1,1,0))</f>
        <v/>
      </c>
      <c r="AF361" t="str">
        <f>IF(AE361=1,SUM($AE$5:AE361),"")</f>
        <v/>
      </c>
    </row>
    <row r="362" spans="27:32" ht="15" customHeight="1" x14ac:dyDescent="0.35">
      <c r="AA362" t="str">
        <f t="shared" si="15"/>
        <v/>
      </c>
      <c r="AB362" t="str">
        <f>IF($A362="","",IF(OR(Dashboard!$D$4="All",Dashboard!$D$4=$A362),IF(Dashboard!$G$4="All",SUM($C362:$V362),INDEX($C362:$V362,MATCH(Dashboard!$G$4,$C$4:$V$4,0))),0))</f>
        <v/>
      </c>
      <c r="AC362" t="str">
        <f t="shared" si="16"/>
        <v/>
      </c>
      <c r="AD362">
        <f t="shared" si="17"/>
        <v>0</v>
      </c>
      <c r="AE362" t="str">
        <f>IF($B362="","",IF(COUNTIF($B$5:$B362,$B362)=1,1,0))</f>
        <v/>
      </c>
      <c r="AF362" t="str">
        <f>IF(AE362=1,SUM($AE$5:AE362),"")</f>
        <v/>
      </c>
    </row>
    <row r="363" spans="27:32" ht="15" customHeight="1" x14ac:dyDescent="0.35">
      <c r="AA363" t="str">
        <f t="shared" si="15"/>
        <v/>
      </c>
      <c r="AB363" t="str">
        <f>IF($A363="","",IF(OR(Dashboard!$D$4="All",Dashboard!$D$4=$A363),IF(Dashboard!$G$4="All",SUM($C363:$V363),INDEX($C363:$V363,MATCH(Dashboard!$G$4,$C$4:$V$4,0))),0))</f>
        <v/>
      </c>
      <c r="AC363" t="str">
        <f t="shared" si="16"/>
        <v/>
      </c>
      <c r="AD363">
        <f t="shared" si="17"/>
        <v>0</v>
      </c>
      <c r="AE363" t="str">
        <f>IF($B363="","",IF(COUNTIF($B$5:$B363,$B363)=1,1,0))</f>
        <v/>
      </c>
      <c r="AF363" t="str">
        <f>IF(AE363=1,SUM($AE$5:AE363),"")</f>
        <v/>
      </c>
    </row>
    <row r="364" spans="27:32" ht="15" customHeight="1" x14ac:dyDescent="0.35">
      <c r="AA364" t="str">
        <f t="shared" si="15"/>
        <v/>
      </c>
      <c r="AB364" t="str">
        <f>IF($A364="","",IF(OR(Dashboard!$D$4="All",Dashboard!$D$4=$A364),IF(Dashboard!$G$4="All",SUM($C364:$V364),INDEX($C364:$V364,MATCH(Dashboard!$G$4,$C$4:$V$4,0))),0))</f>
        <v/>
      </c>
      <c r="AC364" t="str">
        <f t="shared" si="16"/>
        <v/>
      </c>
      <c r="AD364">
        <f t="shared" si="17"/>
        <v>0</v>
      </c>
      <c r="AE364" t="str">
        <f>IF($B364="","",IF(COUNTIF($B$5:$B364,$B364)=1,1,0))</f>
        <v/>
      </c>
      <c r="AF364" t="str">
        <f>IF(AE364=1,SUM($AE$5:AE364),"")</f>
        <v/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21"/>
  <sheetViews>
    <sheetView zoomScaleNormal="100" workbookViewId="0"/>
  </sheetViews>
  <sheetFormatPr defaultColWidth="8.7265625" defaultRowHeight="14.5" x14ac:dyDescent="0.35"/>
  <sheetData>
    <row r="1" spans="1:20" ht="15" customHeight="1" x14ac:dyDescent="0.35">
      <c r="A1" t="s">
        <v>35</v>
      </c>
      <c r="B1" t="s">
        <v>37</v>
      </c>
      <c r="C1" t="s">
        <v>38</v>
      </c>
      <c r="E1" t="s">
        <v>114</v>
      </c>
      <c r="F1" t="s">
        <v>20</v>
      </c>
      <c r="H1" t="s">
        <v>35</v>
      </c>
      <c r="I1" t="s">
        <v>20</v>
      </c>
      <c r="K1" t="s">
        <v>35</v>
      </c>
      <c r="L1" t="s">
        <v>115</v>
      </c>
      <c r="N1" t="s">
        <v>23</v>
      </c>
      <c r="P1" t="s">
        <v>116</v>
      </c>
      <c r="Q1" t="s">
        <v>83</v>
      </c>
      <c r="R1" t="s">
        <v>41</v>
      </c>
      <c r="S1" t="s">
        <v>117</v>
      </c>
      <c r="T1" t="s">
        <v>118</v>
      </c>
    </row>
    <row r="2" spans="1:20" ht="15" customHeight="1" x14ac:dyDescent="0.35">
      <c r="A2" t="s">
        <v>4</v>
      </c>
      <c r="B2">
        <f>SUMIFS(MISData[Files Received],MISData[Month],$A2,MISData[Client Name],IF(Dashboard!$G$4="All","*",Dashboard!$G$4))</f>
        <v>3</v>
      </c>
      <c r="C2">
        <f>SUMIFS(MISData[Files Delivered],MISData[Month],$A2,MISData[Client Name],IF(Dashboard!$G$4="All","*",Dashboard!$G$4))</f>
        <v>1</v>
      </c>
      <c r="E2" t="s">
        <v>56</v>
      </c>
      <c r="F2">
        <f>SUMPRODUCT((((('Utilization Data'!$A$5:$A$364=Dashboard!$D$4)+(Dashboard!$D$4="All"))&gt;0))*1,INDEX('Utilization Data'!$C$5:$V$364,0,MATCH($E2,'Utilization Data'!$C$4:$V$4,0)))</f>
        <v>807</v>
      </c>
      <c r="H2" t="s">
        <v>4</v>
      </c>
      <c r="I2">
        <f>IF(Dashboard!$G$4="All",SUMPRODUCT(('Utilization Data'!$A$5:$A$364=$H2)*'Utilization Data'!$AD$5:$AD$364),SUMPRODUCT(('Utilization Data'!$A$5:$A$364=$H2)*INDEX('Utilization Data'!$C$5:$V$364,0,MATCH(Dashboard!$G$4,'Utilization Data'!$C$4:$V$4,0))))</f>
        <v>229.5</v>
      </c>
      <c r="K2" t="s">
        <v>4</v>
      </c>
      <c r="L2">
        <f>SUMPRODUCT(('Utilization Data'!$A$5:$A$364=$K2)*'Utilization Data'!$AD$5:$AD$364)</f>
        <v>3397.25</v>
      </c>
      <c r="N2" t="s">
        <v>56</v>
      </c>
      <c r="P2">
        <f>SUMPRODUCT(((('Utilization Data'!$A$5:$A$364=Dashboard!$D$4)+(Dashboard!$D$4="All"))&gt;0)*(((('Utilization Data'!$B$5:$B$364=Dashboard!$D$14)+(Dashboard!$D$14="All"))&gt;0)),INDEX('Utilization Data'!$C$5:$V$364,0,MATCH($E2,'Utilization Data'!$C$4:$V$4,0)))</f>
        <v>12.5</v>
      </c>
      <c r="Q2">
        <f t="shared" ref="Q2:Q21" si="0">IF(P2&gt;0,SUMPRODUCT(($P$2:$P$21&gt;0)*(ROW($P$2:$P$21)&lt;=ROW(P2))),"")</f>
        <v>1</v>
      </c>
      <c r="R2" t="str">
        <f>IFERROR(AVERAGEIFS(MISData[Quality %],MISData[Month],IF(Dashboard!$D$4="All","*",Dashboard!$D$4),MISData[Client Name],$E2),"")</f>
        <v/>
      </c>
      <c r="S2">
        <f t="shared" ref="S2:S21" si="1">IF(R2="",0,R2)</f>
        <v>0</v>
      </c>
      <c r="T2">
        <f t="shared" ref="T2:T21" si="2">IF(R2="",0,1)</f>
        <v>0</v>
      </c>
    </row>
    <row r="3" spans="1:20" ht="15" customHeight="1" x14ac:dyDescent="0.35">
      <c r="A3" t="s">
        <v>47</v>
      </c>
      <c r="B3">
        <f>SUMIFS(MISData[Files Received],MISData[Month],$A3,MISData[Client Name],IF(Dashboard!$G$4="All","*",Dashboard!$G$4))</f>
        <v>4</v>
      </c>
      <c r="C3">
        <f>SUMIFS(MISData[Files Delivered],MISData[Month],$A3,MISData[Client Name],IF(Dashboard!$G$4="All","*",Dashboard!$G$4))</f>
        <v>1</v>
      </c>
      <c r="E3" t="s">
        <v>6</v>
      </c>
      <c r="F3">
        <f>SUMPRODUCT((((('Utilization Data'!$A$5:$A$364=Dashboard!$D$4)+(Dashboard!$D$4="All"))&gt;0))*1,INDEX('Utilization Data'!$C$5:$V$364,0,MATCH($E3,'Utilization Data'!$C$4:$V$4,0)))</f>
        <v>229.5</v>
      </c>
      <c r="H3" t="s">
        <v>47</v>
      </c>
      <c r="I3">
        <f>IF(Dashboard!$G$4="All",SUMPRODUCT(('Utilization Data'!$A$5:$A$364=$H3)*'Utilization Data'!$AD$5:$AD$364),SUMPRODUCT(('Utilization Data'!$A$5:$A$364=$H3)*INDEX('Utilization Data'!$C$5:$V$364,0,MATCH(Dashboard!$G$4,'Utilization Data'!$C$4:$V$4,0))))</f>
        <v>0</v>
      </c>
      <c r="K3" t="s">
        <v>47</v>
      </c>
      <c r="L3">
        <f>SUMPRODUCT(('Utilization Data'!$A$5:$A$364=$K3)*'Utilization Data'!$AD$5:$AD$364)</f>
        <v>0</v>
      </c>
      <c r="N3" t="s">
        <v>6</v>
      </c>
      <c r="P3">
        <f>SUMPRODUCT(((('Utilization Data'!$A$5:$A$364=Dashboard!$D$4)+(Dashboard!$D$4="All"))&gt;0)*(((('Utilization Data'!$B$5:$B$364=Dashboard!$D$14)+(Dashboard!$D$14="All"))&gt;0)),INDEX('Utilization Data'!$C$5:$V$364,0,MATCH($E3,'Utilization Data'!$C$4:$V$4,0)))</f>
        <v>37.25</v>
      </c>
      <c r="Q3">
        <f t="shared" si="0"/>
        <v>2</v>
      </c>
      <c r="R3">
        <f>IFERROR(AVERAGEIFS(MISData[Quality %],MISData[Month],IF(Dashboard!$D$4="All","*",Dashboard!$D$4),MISData[Client Name],$E3),"")</f>
        <v>0.95</v>
      </c>
      <c r="S3">
        <f t="shared" si="1"/>
        <v>0.95</v>
      </c>
      <c r="T3">
        <f t="shared" si="2"/>
        <v>1</v>
      </c>
    </row>
    <row r="4" spans="1:20" ht="15" customHeight="1" x14ac:dyDescent="0.35">
      <c r="A4" t="s">
        <v>48</v>
      </c>
      <c r="B4">
        <f>SUMIFS(MISData[Files Received],MISData[Month],$A4,MISData[Client Name],IF(Dashboard!$G$4="All","*",Dashboard!$G$4))</f>
        <v>8</v>
      </c>
      <c r="C4">
        <f>SUMIFS(MISData[Files Delivered],MISData[Month],$A4,MISData[Client Name],IF(Dashboard!$G$4="All","*",Dashboard!$G$4))</f>
        <v>4</v>
      </c>
      <c r="E4" t="s">
        <v>57</v>
      </c>
      <c r="F4">
        <f>SUMPRODUCT((((('Utilization Data'!$A$5:$A$364=Dashboard!$D$4)+(Dashboard!$D$4="All"))&gt;0))*1,INDEX('Utilization Data'!$C$5:$V$364,0,MATCH($E4,'Utilization Data'!$C$4:$V$4,0)))</f>
        <v>368.25</v>
      </c>
      <c r="H4" t="s">
        <v>48</v>
      </c>
      <c r="I4">
        <f>IF(Dashboard!$G$4="All",SUMPRODUCT(('Utilization Data'!$A$5:$A$364=$H4)*'Utilization Data'!$AD$5:$AD$364),SUMPRODUCT(('Utilization Data'!$A$5:$A$364=$H4)*INDEX('Utilization Data'!$C$5:$V$364,0,MATCH(Dashboard!$G$4,'Utilization Data'!$C$4:$V$4,0))))</f>
        <v>0</v>
      </c>
      <c r="K4" t="s">
        <v>48</v>
      </c>
      <c r="L4">
        <f>SUMPRODUCT(('Utilization Data'!$A$5:$A$364=$K4)*'Utilization Data'!$AD$5:$AD$364)</f>
        <v>0</v>
      </c>
      <c r="N4" t="s">
        <v>57</v>
      </c>
      <c r="P4">
        <f>SUMPRODUCT(((('Utilization Data'!$A$5:$A$364=Dashboard!$D$4)+(Dashboard!$D$4="All"))&gt;0)*(((('Utilization Data'!$B$5:$B$364=Dashboard!$D$14)+(Dashboard!$D$14="All"))&gt;0)),INDEX('Utilization Data'!$C$5:$V$364,0,MATCH($E4,'Utilization Data'!$C$4:$V$4,0)))</f>
        <v>0</v>
      </c>
      <c r="Q4" t="str">
        <f t="shared" si="0"/>
        <v/>
      </c>
      <c r="R4" t="str">
        <f>IFERROR(AVERAGEIFS(MISData[Quality %],MISData[Month],IF(Dashboard!$D$4="All","*",Dashboard!$D$4),MISData[Client Name],$E4),"")</f>
        <v/>
      </c>
      <c r="S4">
        <f t="shared" si="1"/>
        <v>0</v>
      </c>
      <c r="T4">
        <f t="shared" si="2"/>
        <v>0</v>
      </c>
    </row>
    <row r="5" spans="1:20" ht="15" customHeight="1" x14ac:dyDescent="0.35">
      <c r="A5" t="s">
        <v>49</v>
      </c>
      <c r="B5">
        <f>SUMIFS(MISData[Files Received],MISData[Month],$A5,MISData[Client Name],IF(Dashboard!$G$4="All","*",Dashboard!$G$4))</f>
        <v>2</v>
      </c>
      <c r="C5">
        <f>SUMIFS(MISData[Files Delivered],MISData[Month],$A5,MISData[Client Name],IF(Dashboard!$G$4="All","*",Dashboard!$G$4))</f>
        <v>2</v>
      </c>
      <c r="E5" t="s">
        <v>58</v>
      </c>
      <c r="F5">
        <f>SUMPRODUCT((((('Utilization Data'!$A$5:$A$364=Dashboard!$D$4)+(Dashboard!$D$4="All"))&gt;0))*1,INDEX('Utilization Data'!$C$5:$V$364,0,MATCH($E5,'Utilization Data'!$C$4:$V$4,0)))</f>
        <v>825.25</v>
      </c>
      <c r="H5" t="s">
        <v>49</v>
      </c>
      <c r="I5">
        <f>IF(Dashboard!$G$4="All",SUMPRODUCT(('Utilization Data'!$A$5:$A$364=$H5)*'Utilization Data'!$AD$5:$AD$364),SUMPRODUCT(('Utilization Data'!$A$5:$A$364=$H5)*INDEX('Utilization Data'!$C$5:$V$364,0,MATCH(Dashboard!$G$4,'Utilization Data'!$C$4:$V$4,0))))</f>
        <v>0</v>
      </c>
      <c r="K5" t="s">
        <v>49</v>
      </c>
      <c r="L5">
        <f>SUMPRODUCT(('Utilization Data'!$A$5:$A$364=$K5)*'Utilization Data'!$AD$5:$AD$364)</f>
        <v>0</v>
      </c>
      <c r="N5" t="s">
        <v>58</v>
      </c>
      <c r="P5">
        <f>SUMPRODUCT(((('Utilization Data'!$A$5:$A$364=Dashboard!$D$4)+(Dashboard!$D$4="All"))&gt;0)*(((('Utilization Data'!$B$5:$B$364=Dashboard!$D$14)+(Dashboard!$D$14="All"))&gt;0)),INDEX('Utilization Data'!$C$5:$V$364,0,MATCH($E5,'Utilization Data'!$C$4:$V$4,0)))</f>
        <v>0</v>
      </c>
      <c r="Q5" t="str">
        <f t="shared" si="0"/>
        <v/>
      </c>
      <c r="R5" t="str">
        <f>IFERROR(AVERAGEIFS(MISData[Quality %],MISData[Month],IF(Dashboard!$D$4="All","*",Dashboard!$D$4),MISData[Client Name],$E5),"")</f>
        <v/>
      </c>
      <c r="S5">
        <f t="shared" si="1"/>
        <v>0</v>
      </c>
      <c r="T5">
        <f t="shared" si="2"/>
        <v>0</v>
      </c>
    </row>
    <row r="6" spans="1:20" ht="15" customHeight="1" x14ac:dyDescent="0.35">
      <c r="A6" t="s">
        <v>50</v>
      </c>
      <c r="B6">
        <f>SUMIFS(MISData[Files Received],MISData[Month],$A6,MISData[Client Name],IF(Dashboard!$G$4="All","*",Dashboard!$G$4))</f>
        <v>4</v>
      </c>
      <c r="C6">
        <f>SUMIFS(MISData[Files Delivered],MISData[Month],$A6,MISData[Client Name],IF(Dashboard!$G$4="All","*",Dashboard!$G$4))</f>
        <v>4</v>
      </c>
      <c r="E6" t="s">
        <v>59</v>
      </c>
      <c r="F6">
        <f>SUMPRODUCT((((('Utilization Data'!$A$5:$A$364=Dashboard!$D$4)+(Dashboard!$D$4="All"))&gt;0))*1,INDEX('Utilization Data'!$C$5:$V$364,0,MATCH($E6,'Utilization Data'!$C$4:$V$4,0)))</f>
        <v>93.5</v>
      </c>
      <c r="H6" t="s">
        <v>50</v>
      </c>
      <c r="I6">
        <f>IF(Dashboard!$G$4="All",SUMPRODUCT(('Utilization Data'!$A$5:$A$364=$H6)*'Utilization Data'!$AD$5:$AD$364),SUMPRODUCT(('Utilization Data'!$A$5:$A$364=$H6)*INDEX('Utilization Data'!$C$5:$V$364,0,MATCH(Dashboard!$G$4,'Utilization Data'!$C$4:$V$4,0))))</f>
        <v>0</v>
      </c>
      <c r="K6" t="s">
        <v>50</v>
      </c>
      <c r="L6">
        <f>SUMPRODUCT(('Utilization Data'!$A$5:$A$364=$K6)*'Utilization Data'!$AD$5:$AD$364)</f>
        <v>0</v>
      </c>
      <c r="N6" t="s">
        <v>59</v>
      </c>
      <c r="P6">
        <f>SUMPRODUCT(((('Utilization Data'!$A$5:$A$364=Dashboard!$D$4)+(Dashboard!$D$4="All"))&gt;0)*(((('Utilization Data'!$B$5:$B$364=Dashboard!$D$14)+(Dashboard!$D$14="All"))&gt;0)),INDEX('Utilization Data'!$C$5:$V$364,0,MATCH($E6,'Utilization Data'!$C$4:$V$4,0)))</f>
        <v>0</v>
      </c>
      <c r="Q6" t="str">
        <f t="shared" si="0"/>
        <v/>
      </c>
      <c r="R6" t="str">
        <f>IFERROR(AVERAGEIFS(MISData[Quality %],MISData[Month],IF(Dashboard!$D$4="All","*",Dashboard!$D$4),MISData[Client Name],$E6),"")</f>
        <v/>
      </c>
      <c r="S6">
        <f t="shared" si="1"/>
        <v>0</v>
      </c>
      <c r="T6">
        <f t="shared" si="2"/>
        <v>0</v>
      </c>
    </row>
    <row r="7" spans="1:20" ht="15" customHeight="1" x14ac:dyDescent="0.35">
      <c r="A7" t="s">
        <v>51</v>
      </c>
      <c r="B7">
        <f>SUMIFS(MISData[Files Received],MISData[Month],$A7,MISData[Client Name],IF(Dashboard!$G$4="All","*",Dashboard!$G$4))</f>
        <v>4</v>
      </c>
      <c r="C7">
        <f>SUMIFS(MISData[Files Delivered],MISData[Month],$A7,MISData[Client Name],IF(Dashboard!$G$4="All","*",Dashboard!$G$4))</f>
        <v>3</v>
      </c>
      <c r="E7" t="s">
        <v>60</v>
      </c>
      <c r="F7">
        <f>SUMPRODUCT((((('Utilization Data'!$A$5:$A$364=Dashboard!$D$4)+(Dashboard!$D$4="All"))&gt;0))*1,INDEX('Utilization Data'!$C$5:$V$364,0,MATCH($E7,'Utilization Data'!$C$4:$V$4,0)))</f>
        <v>169.75</v>
      </c>
      <c r="H7" t="s">
        <v>51</v>
      </c>
      <c r="I7">
        <f>IF(Dashboard!$G$4="All",SUMPRODUCT(('Utilization Data'!$A$5:$A$364=$H7)*'Utilization Data'!$AD$5:$AD$364),SUMPRODUCT(('Utilization Data'!$A$5:$A$364=$H7)*INDEX('Utilization Data'!$C$5:$V$364,0,MATCH(Dashboard!$G$4,'Utilization Data'!$C$4:$V$4,0))))</f>
        <v>0</v>
      </c>
      <c r="K7" t="s">
        <v>51</v>
      </c>
      <c r="L7">
        <f>SUMPRODUCT(('Utilization Data'!$A$5:$A$364=$K7)*'Utilization Data'!$AD$5:$AD$364)</f>
        <v>0</v>
      </c>
      <c r="N7" t="s">
        <v>60</v>
      </c>
      <c r="P7">
        <f>SUMPRODUCT(((('Utilization Data'!$A$5:$A$364=Dashboard!$D$4)+(Dashboard!$D$4="All"))&gt;0)*(((('Utilization Data'!$B$5:$B$364=Dashboard!$D$14)+(Dashboard!$D$14="All"))&gt;0)),INDEX('Utilization Data'!$C$5:$V$364,0,MATCH($E7,'Utilization Data'!$C$4:$V$4,0)))</f>
        <v>49.75</v>
      </c>
      <c r="Q7">
        <f t="shared" si="0"/>
        <v>3</v>
      </c>
      <c r="R7" t="str">
        <f>IFERROR(AVERAGEIFS(MISData[Quality %],MISData[Month],IF(Dashboard!$D$4="All","*",Dashboard!$D$4),MISData[Client Name],$E7),"")</f>
        <v/>
      </c>
      <c r="S7">
        <f t="shared" si="1"/>
        <v>0</v>
      </c>
      <c r="T7">
        <f t="shared" si="2"/>
        <v>0</v>
      </c>
    </row>
    <row r="8" spans="1:20" ht="15" customHeight="1" x14ac:dyDescent="0.35">
      <c r="A8" t="s">
        <v>52</v>
      </c>
      <c r="B8">
        <f>SUMIFS(MISData[Files Received],MISData[Month],$A8,MISData[Client Name],IF(Dashboard!$G$4="All","*",Dashboard!$G$4))</f>
        <v>3</v>
      </c>
      <c r="C8">
        <f>SUMIFS(MISData[Files Delivered],MISData[Month],$A8,MISData[Client Name],IF(Dashboard!$G$4="All","*",Dashboard!$G$4))</f>
        <v>3</v>
      </c>
      <c r="E8" t="s">
        <v>61</v>
      </c>
      <c r="F8">
        <f>SUMPRODUCT((((('Utilization Data'!$A$5:$A$364=Dashboard!$D$4)+(Dashboard!$D$4="All"))&gt;0))*1,INDEX('Utilization Data'!$C$5:$V$364,0,MATCH($E8,'Utilization Data'!$C$4:$V$4,0)))</f>
        <v>0</v>
      </c>
      <c r="H8" t="s">
        <v>52</v>
      </c>
      <c r="I8">
        <f>IF(Dashboard!$G$4="All",SUMPRODUCT(('Utilization Data'!$A$5:$A$364=$H8)*'Utilization Data'!$AD$5:$AD$364),SUMPRODUCT(('Utilization Data'!$A$5:$A$364=$H8)*INDEX('Utilization Data'!$C$5:$V$364,0,MATCH(Dashboard!$G$4,'Utilization Data'!$C$4:$V$4,0))))</f>
        <v>0</v>
      </c>
      <c r="K8" t="s">
        <v>52</v>
      </c>
      <c r="L8">
        <f>SUMPRODUCT(('Utilization Data'!$A$5:$A$364=$K8)*'Utilization Data'!$AD$5:$AD$364)</f>
        <v>0</v>
      </c>
      <c r="N8" t="s">
        <v>61</v>
      </c>
      <c r="P8">
        <f>SUMPRODUCT(((('Utilization Data'!$A$5:$A$364=Dashboard!$D$4)+(Dashboard!$D$4="All"))&gt;0)*(((('Utilization Data'!$B$5:$B$364=Dashboard!$D$14)+(Dashboard!$D$14="All"))&gt;0)),INDEX('Utilization Data'!$C$5:$V$364,0,MATCH($E8,'Utilization Data'!$C$4:$V$4,0)))</f>
        <v>0</v>
      </c>
      <c r="Q8" t="str">
        <f t="shared" si="0"/>
        <v/>
      </c>
      <c r="R8" t="str">
        <f>IFERROR(AVERAGEIFS(MISData[Quality %],MISData[Month],IF(Dashboard!$D$4="All","*",Dashboard!$D$4),MISData[Client Name],$E8),"")</f>
        <v/>
      </c>
      <c r="S8">
        <f t="shared" si="1"/>
        <v>0</v>
      </c>
      <c r="T8">
        <f t="shared" si="2"/>
        <v>0</v>
      </c>
    </row>
    <row r="9" spans="1:20" ht="15" customHeight="1" x14ac:dyDescent="0.35">
      <c r="A9" t="s">
        <v>119</v>
      </c>
      <c r="B9">
        <f>SUMIFS(MISData[Files Received],MISData[Month],$A9,MISData[Client Name],IF(Dashboard!$G$4="All","*",Dashboard!$G$4))</f>
        <v>0</v>
      </c>
      <c r="C9">
        <f>SUMIFS(MISData[Files Delivered],MISData[Month],$A9,MISData[Client Name],IF(Dashboard!$G$4="All","*",Dashboard!$G$4))</f>
        <v>0</v>
      </c>
      <c r="E9" t="s">
        <v>62</v>
      </c>
      <c r="F9">
        <f>SUMPRODUCT((((('Utilization Data'!$A$5:$A$364=Dashboard!$D$4)+(Dashboard!$D$4="All"))&gt;0))*1,INDEX('Utilization Data'!$C$5:$V$364,0,MATCH($E9,'Utilization Data'!$C$4:$V$4,0)))</f>
        <v>502</v>
      </c>
      <c r="H9" t="s">
        <v>119</v>
      </c>
      <c r="I9">
        <f>IF(Dashboard!$G$4="All",SUMPRODUCT(('Utilization Data'!$A$5:$A$364=$H9)*'Utilization Data'!$AD$5:$AD$364),SUMPRODUCT(('Utilization Data'!$A$5:$A$364=$H9)*INDEX('Utilization Data'!$C$5:$V$364,0,MATCH(Dashboard!$G$4,'Utilization Data'!$C$4:$V$4,0))))</f>
        <v>0</v>
      </c>
      <c r="K9" t="s">
        <v>119</v>
      </c>
      <c r="L9">
        <f>SUMPRODUCT(('Utilization Data'!$A$5:$A$364=$K9)*'Utilization Data'!$AD$5:$AD$364)</f>
        <v>0</v>
      </c>
      <c r="N9" t="s">
        <v>62</v>
      </c>
      <c r="P9">
        <f>SUMPRODUCT(((('Utilization Data'!$A$5:$A$364=Dashboard!$D$4)+(Dashboard!$D$4="All"))&gt;0)*(((('Utilization Data'!$B$5:$B$364=Dashboard!$D$14)+(Dashboard!$D$14="All"))&gt;0)),INDEX('Utilization Data'!$C$5:$V$364,0,MATCH($E9,'Utilization Data'!$C$4:$V$4,0)))</f>
        <v>0</v>
      </c>
      <c r="Q9" t="str">
        <f t="shared" si="0"/>
        <v/>
      </c>
      <c r="R9" t="str">
        <f>IFERROR(AVERAGEIFS(MISData[Quality %],MISData[Month],IF(Dashboard!$D$4="All","*",Dashboard!$D$4),MISData[Client Name],$E9),"")</f>
        <v/>
      </c>
      <c r="S9">
        <f t="shared" si="1"/>
        <v>0</v>
      </c>
      <c r="T9">
        <f t="shared" si="2"/>
        <v>0</v>
      </c>
    </row>
    <row r="10" spans="1:20" ht="15" customHeight="1" x14ac:dyDescent="0.35">
      <c r="A10" t="s">
        <v>120</v>
      </c>
      <c r="B10">
        <f>SUMIFS(MISData[Files Received],MISData[Month],$A10,MISData[Client Name],IF(Dashboard!$G$4="All","*",Dashboard!$G$4))</f>
        <v>0</v>
      </c>
      <c r="C10">
        <f>SUMIFS(MISData[Files Delivered],MISData[Month],$A10,MISData[Client Name],IF(Dashboard!$G$4="All","*",Dashboard!$G$4))</f>
        <v>0</v>
      </c>
      <c r="E10" t="s">
        <v>63</v>
      </c>
      <c r="F10">
        <f>SUMPRODUCT((((('Utilization Data'!$A$5:$A$364=Dashboard!$D$4)+(Dashboard!$D$4="All"))&gt;0))*1,INDEX('Utilization Data'!$C$5:$V$364,0,MATCH($E10,'Utilization Data'!$C$4:$V$4,0)))</f>
        <v>169</v>
      </c>
      <c r="H10" t="s">
        <v>120</v>
      </c>
      <c r="I10">
        <f>IF(Dashboard!$G$4="All",SUMPRODUCT(('Utilization Data'!$A$5:$A$364=$H10)*'Utilization Data'!$AD$5:$AD$364),SUMPRODUCT(('Utilization Data'!$A$5:$A$364=$H10)*INDEX('Utilization Data'!$C$5:$V$364,0,MATCH(Dashboard!$G$4,'Utilization Data'!$C$4:$V$4,0))))</f>
        <v>0</v>
      </c>
      <c r="K10" t="s">
        <v>120</v>
      </c>
      <c r="L10">
        <f>SUMPRODUCT(('Utilization Data'!$A$5:$A$364=$K10)*'Utilization Data'!$AD$5:$AD$364)</f>
        <v>0</v>
      </c>
      <c r="N10" t="s">
        <v>63</v>
      </c>
      <c r="P10">
        <f>SUMPRODUCT(((('Utilization Data'!$A$5:$A$364=Dashboard!$D$4)+(Dashboard!$D$4="All"))&gt;0)*(((('Utilization Data'!$B$5:$B$364=Dashboard!$D$14)+(Dashboard!$D$14="All"))&gt;0)),INDEX('Utilization Data'!$C$5:$V$364,0,MATCH($E10,'Utilization Data'!$C$4:$V$4,0)))</f>
        <v>0</v>
      </c>
      <c r="Q10" t="str">
        <f t="shared" si="0"/>
        <v/>
      </c>
      <c r="R10" t="str">
        <f>IFERROR(AVERAGEIFS(MISData[Quality %],MISData[Month],IF(Dashboard!$D$4="All","*",Dashboard!$D$4),MISData[Client Name],$E10),"")</f>
        <v/>
      </c>
      <c r="S10">
        <f t="shared" si="1"/>
        <v>0</v>
      </c>
      <c r="T10">
        <f t="shared" si="2"/>
        <v>0</v>
      </c>
    </row>
    <row r="11" spans="1:20" ht="15" customHeight="1" x14ac:dyDescent="0.35">
      <c r="A11" t="s">
        <v>121</v>
      </c>
      <c r="B11">
        <f>SUMIFS(MISData[Files Received],MISData[Month],$A11,MISData[Client Name],IF(Dashboard!$G$4="All","*",Dashboard!$G$4))</f>
        <v>0</v>
      </c>
      <c r="C11">
        <f>SUMIFS(MISData[Files Delivered],MISData[Month],$A11,MISData[Client Name],IF(Dashboard!$G$4="All","*",Dashboard!$G$4))</f>
        <v>0</v>
      </c>
      <c r="E11" t="s">
        <v>64</v>
      </c>
      <c r="F11">
        <f>SUMPRODUCT((((('Utilization Data'!$A$5:$A$364=Dashboard!$D$4)+(Dashboard!$D$4="All"))&gt;0))*1,INDEX('Utilization Data'!$C$5:$V$364,0,MATCH($E11,'Utilization Data'!$C$4:$V$4,0)))</f>
        <v>0</v>
      </c>
      <c r="H11" t="s">
        <v>121</v>
      </c>
      <c r="I11">
        <f>IF(Dashboard!$G$4="All",SUMPRODUCT(('Utilization Data'!$A$5:$A$364=$H11)*'Utilization Data'!$AD$5:$AD$364),SUMPRODUCT(('Utilization Data'!$A$5:$A$364=$H11)*INDEX('Utilization Data'!$C$5:$V$364,0,MATCH(Dashboard!$G$4,'Utilization Data'!$C$4:$V$4,0))))</f>
        <v>0</v>
      </c>
      <c r="K11" t="s">
        <v>121</v>
      </c>
      <c r="L11">
        <f>SUMPRODUCT(('Utilization Data'!$A$5:$A$364=$K11)*'Utilization Data'!$AD$5:$AD$364)</f>
        <v>0</v>
      </c>
      <c r="N11" t="s">
        <v>64</v>
      </c>
      <c r="P11">
        <f>SUMPRODUCT(((('Utilization Data'!$A$5:$A$364=Dashboard!$D$4)+(Dashboard!$D$4="All"))&gt;0)*(((('Utilization Data'!$B$5:$B$364=Dashboard!$D$14)+(Dashboard!$D$14="All"))&gt;0)),INDEX('Utilization Data'!$C$5:$V$364,0,MATCH($E11,'Utilization Data'!$C$4:$V$4,0)))</f>
        <v>0</v>
      </c>
      <c r="Q11" t="str">
        <f t="shared" si="0"/>
        <v/>
      </c>
      <c r="R11" t="str">
        <f>IFERROR(AVERAGEIFS(MISData[Quality %],MISData[Month],IF(Dashboard!$D$4="All","*",Dashboard!$D$4),MISData[Client Name],$E11),"")</f>
        <v/>
      </c>
      <c r="S11">
        <f t="shared" si="1"/>
        <v>0</v>
      </c>
      <c r="T11">
        <f t="shared" si="2"/>
        <v>0</v>
      </c>
    </row>
    <row r="12" spans="1:20" ht="15" customHeight="1" x14ac:dyDescent="0.35">
      <c r="A12" t="s">
        <v>122</v>
      </c>
      <c r="B12">
        <f>SUMIFS(MISData[Files Received],MISData[Month],$A12,MISData[Client Name],IF(Dashboard!$G$4="All","*",Dashboard!$G$4))</f>
        <v>0</v>
      </c>
      <c r="C12">
        <f>SUMIFS(MISData[Files Delivered],MISData[Month],$A12,MISData[Client Name],IF(Dashboard!$G$4="All","*",Dashboard!$G$4))</f>
        <v>0</v>
      </c>
      <c r="E12" t="s">
        <v>46</v>
      </c>
      <c r="F12">
        <f>SUMPRODUCT((((('Utilization Data'!$A$5:$A$364=Dashboard!$D$4)+(Dashboard!$D$4="All"))&gt;0))*1,INDEX('Utilization Data'!$C$5:$V$364,0,MATCH($E12,'Utilization Data'!$C$4:$V$4,0)))</f>
        <v>93</v>
      </c>
      <c r="H12" t="s">
        <v>122</v>
      </c>
      <c r="I12">
        <f>IF(Dashboard!$G$4="All",SUMPRODUCT(('Utilization Data'!$A$5:$A$364=$H12)*'Utilization Data'!$AD$5:$AD$364),SUMPRODUCT(('Utilization Data'!$A$5:$A$364=$H12)*INDEX('Utilization Data'!$C$5:$V$364,0,MATCH(Dashboard!$G$4,'Utilization Data'!$C$4:$V$4,0))))</f>
        <v>0</v>
      </c>
      <c r="K12" t="s">
        <v>122</v>
      </c>
      <c r="L12">
        <f>SUMPRODUCT(('Utilization Data'!$A$5:$A$364=$K12)*'Utilization Data'!$AD$5:$AD$364)</f>
        <v>0</v>
      </c>
      <c r="N12" t="s">
        <v>46</v>
      </c>
      <c r="P12">
        <f>SUMPRODUCT(((('Utilization Data'!$A$5:$A$364=Dashboard!$D$4)+(Dashboard!$D$4="All"))&gt;0)*(((('Utilization Data'!$B$5:$B$364=Dashboard!$D$14)+(Dashboard!$D$14="All"))&gt;0)),INDEX('Utilization Data'!$C$5:$V$364,0,MATCH($E12,'Utilization Data'!$C$4:$V$4,0)))</f>
        <v>48.5</v>
      </c>
      <c r="Q12">
        <f t="shared" si="0"/>
        <v>4</v>
      </c>
      <c r="R12">
        <f>IFERROR(AVERAGEIFS(MISData[Quality %],MISData[Month],IF(Dashboard!$D$4="All","*",Dashboard!$D$4),MISData[Client Name],$E12),"")</f>
        <v>1</v>
      </c>
      <c r="S12">
        <f t="shared" si="1"/>
        <v>1</v>
      </c>
      <c r="T12">
        <f t="shared" si="2"/>
        <v>1</v>
      </c>
    </row>
    <row r="13" spans="1:20" ht="15" customHeight="1" x14ac:dyDescent="0.35">
      <c r="A13" t="s">
        <v>123</v>
      </c>
      <c r="B13">
        <f>SUMIFS(MISData[Files Received],MISData[Month],$A13,MISData[Client Name],IF(Dashboard!$G$4="All","*",Dashboard!$G$4))</f>
        <v>0</v>
      </c>
      <c r="C13">
        <f>SUMIFS(MISData[Files Delivered],MISData[Month],$A13,MISData[Client Name],IF(Dashboard!$G$4="All","*",Dashboard!$G$4))</f>
        <v>0</v>
      </c>
      <c r="E13" t="s">
        <v>65</v>
      </c>
      <c r="F13">
        <f>SUMPRODUCT((((('Utilization Data'!$A$5:$A$364=Dashboard!$D$4)+(Dashboard!$D$4="All"))&gt;0))*1,INDEX('Utilization Data'!$C$5:$V$364,0,MATCH($E13,'Utilization Data'!$C$4:$V$4,0)))</f>
        <v>0</v>
      </c>
      <c r="H13" t="s">
        <v>123</v>
      </c>
      <c r="I13">
        <f>IF(Dashboard!$G$4="All",SUMPRODUCT(('Utilization Data'!$A$5:$A$364=$H13)*'Utilization Data'!$AD$5:$AD$364),SUMPRODUCT(('Utilization Data'!$A$5:$A$364=$H13)*INDEX('Utilization Data'!$C$5:$V$364,0,MATCH(Dashboard!$G$4,'Utilization Data'!$C$4:$V$4,0))))</f>
        <v>0</v>
      </c>
      <c r="K13" t="s">
        <v>123</v>
      </c>
      <c r="L13">
        <f>SUMPRODUCT(('Utilization Data'!$A$5:$A$364=$K13)*'Utilization Data'!$AD$5:$AD$364)</f>
        <v>0</v>
      </c>
      <c r="N13" t="s">
        <v>65</v>
      </c>
      <c r="P13">
        <f>SUMPRODUCT(((('Utilization Data'!$A$5:$A$364=Dashboard!$D$4)+(Dashboard!$D$4="All"))&gt;0)*(((('Utilization Data'!$B$5:$B$364=Dashboard!$D$14)+(Dashboard!$D$14="All"))&gt;0)),INDEX('Utilization Data'!$C$5:$V$364,0,MATCH($E13,'Utilization Data'!$C$4:$V$4,0)))</f>
        <v>0</v>
      </c>
      <c r="Q13" t="str">
        <f t="shared" si="0"/>
        <v/>
      </c>
      <c r="R13" t="str">
        <f>IFERROR(AVERAGEIFS(MISData[Quality %],MISData[Month],IF(Dashboard!$D$4="All","*",Dashboard!$D$4),MISData[Client Name],$E13),"")</f>
        <v/>
      </c>
      <c r="S13">
        <f t="shared" si="1"/>
        <v>0</v>
      </c>
      <c r="T13">
        <f t="shared" si="2"/>
        <v>0</v>
      </c>
    </row>
    <row r="14" spans="1:20" ht="15" customHeight="1" x14ac:dyDescent="0.35">
      <c r="E14" t="s">
        <v>66</v>
      </c>
      <c r="F14">
        <f>SUMPRODUCT((((('Utilization Data'!$A$5:$A$364=Dashboard!$D$4)+(Dashboard!$D$4="All"))&gt;0))*1,INDEX('Utilization Data'!$C$5:$V$364,0,MATCH($E14,'Utilization Data'!$C$4:$V$4,0)))</f>
        <v>37</v>
      </c>
      <c r="N14" t="s">
        <v>66</v>
      </c>
      <c r="P14">
        <f>SUMPRODUCT(((('Utilization Data'!$A$5:$A$364=Dashboard!$D$4)+(Dashboard!$D$4="All"))&gt;0)*(((('Utilization Data'!$B$5:$B$364=Dashboard!$D$14)+(Dashboard!$D$14="All"))&gt;0)),INDEX('Utilization Data'!$C$5:$V$364,0,MATCH($E14,'Utilization Data'!$C$4:$V$4,0)))</f>
        <v>0</v>
      </c>
      <c r="Q14" t="str">
        <f t="shared" si="0"/>
        <v/>
      </c>
      <c r="R14" t="str">
        <f>IFERROR(AVERAGEIFS(MISData[Quality %],MISData[Month],IF(Dashboard!$D$4="All","*",Dashboard!$D$4),MISData[Client Name],$E14),"")</f>
        <v/>
      </c>
      <c r="S14">
        <f t="shared" si="1"/>
        <v>0</v>
      </c>
      <c r="T14">
        <f t="shared" si="2"/>
        <v>0</v>
      </c>
    </row>
    <row r="15" spans="1:20" ht="15" customHeight="1" x14ac:dyDescent="0.35">
      <c r="E15" t="s">
        <v>67</v>
      </c>
      <c r="F15">
        <f>SUMPRODUCT((((('Utilization Data'!$A$5:$A$364=Dashboard!$D$4)+(Dashboard!$D$4="All"))&gt;0))*1,INDEX('Utilization Data'!$C$5:$V$364,0,MATCH($E15,'Utilization Data'!$C$4:$V$4,0)))</f>
        <v>14</v>
      </c>
      <c r="N15" t="s">
        <v>67</v>
      </c>
      <c r="P15">
        <f>SUMPRODUCT(((('Utilization Data'!$A$5:$A$364=Dashboard!$D$4)+(Dashboard!$D$4="All"))&gt;0)*(((('Utilization Data'!$B$5:$B$364=Dashboard!$D$14)+(Dashboard!$D$14="All"))&gt;0)),INDEX('Utilization Data'!$C$5:$V$364,0,MATCH($E15,'Utilization Data'!$C$4:$V$4,0)))</f>
        <v>0</v>
      </c>
      <c r="Q15" t="str">
        <f t="shared" si="0"/>
        <v/>
      </c>
      <c r="R15" t="str">
        <f>IFERROR(AVERAGEIFS(MISData[Quality %],MISData[Month],IF(Dashboard!$D$4="All","*",Dashboard!$D$4),MISData[Client Name],$E15),"")</f>
        <v/>
      </c>
      <c r="S15">
        <f t="shared" si="1"/>
        <v>0</v>
      </c>
      <c r="T15">
        <f t="shared" si="2"/>
        <v>0</v>
      </c>
    </row>
    <row r="16" spans="1:20" ht="15" customHeight="1" x14ac:dyDescent="0.35">
      <c r="E16" t="s">
        <v>68</v>
      </c>
      <c r="F16">
        <f>SUMPRODUCT((((('Utilization Data'!$A$5:$A$364=Dashboard!$D$4)+(Dashboard!$D$4="All"))&gt;0))*1,INDEX('Utilization Data'!$C$5:$V$364,0,MATCH($E16,'Utilization Data'!$C$4:$V$4,0)))</f>
        <v>0</v>
      </c>
      <c r="N16" t="s">
        <v>68</v>
      </c>
      <c r="P16">
        <f>SUMPRODUCT(((('Utilization Data'!$A$5:$A$364=Dashboard!$D$4)+(Dashboard!$D$4="All"))&gt;0)*(((('Utilization Data'!$B$5:$B$364=Dashboard!$D$14)+(Dashboard!$D$14="All"))&gt;0)),INDEX('Utilization Data'!$C$5:$V$364,0,MATCH($E16,'Utilization Data'!$C$4:$V$4,0)))</f>
        <v>0</v>
      </c>
      <c r="Q16" t="str">
        <f t="shared" si="0"/>
        <v/>
      </c>
      <c r="R16" t="str">
        <f>IFERROR(AVERAGEIFS(MISData[Quality %],MISData[Month],IF(Dashboard!$D$4="All","*",Dashboard!$D$4),MISData[Client Name],$E16),"")</f>
        <v/>
      </c>
      <c r="S16">
        <f t="shared" si="1"/>
        <v>0</v>
      </c>
      <c r="T16">
        <f t="shared" si="2"/>
        <v>0</v>
      </c>
    </row>
    <row r="17" spans="5:20" ht="15" customHeight="1" x14ac:dyDescent="0.35">
      <c r="E17" t="s">
        <v>69</v>
      </c>
      <c r="F17">
        <f>SUMPRODUCT((((('Utilization Data'!$A$5:$A$364=Dashboard!$D$4)+(Dashboard!$D$4="All"))&gt;0))*1,INDEX('Utilization Data'!$C$5:$V$364,0,MATCH($E17,'Utilization Data'!$C$4:$V$4,0)))</f>
        <v>0</v>
      </c>
      <c r="N17" t="s">
        <v>69</v>
      </c>
      <c r="P17">
        <f>SUMPRODUCT(((('Utilization Data'!$A$5:$A$364=Dashboard!$D$4)+(Dashboard!$D$4="All"))&gt;0)*(((('Utilization Data'!$B$5:$B$364=Dashboard!$D$14)+(Dashboard!$D$14="All"))&gt;0)),INDEX('Utilization Data'!$C$5:$V$364,0,MATCH($E17,'Utilization Data'!$C$4:$V$4,0)))</f>
        <v>0</v>
      </c>
      <c r="Q17" t="str">
        <f t="shared" si="0"/>
        <v/>
      </c>
      <c r="R17" t="str">
        <f>IFERROR(AVERAGEIFS(MISData[Quality %],MISData[Month],IF(Dashboard!$D$4="All","*",Dashboard!$D$4),MISData[Client Name],$E17),"")</f>
        <v/>
      </c>
      <c r="S17">
        <f t="shared" si="1"/>
        <v>0</v>
      </c>
      <c r="T17">
        <f t="shared" si="2"/>
        <v>0</v>
      </c>
    </row>
    <row r="18" spans="5:20" ht="15" customHeight="1" x14ac:dyDescent="0.35">
      <c r="E18" t="s">
        <v>70</v>
      </c>
      <c r="F18">
        <f>SUMPRODUCT((((('Utilization Data'!$A$5:$A$364=Dashboard!$D$4)+(Dashboard!$D$4="All"))&gt;0))*1,INDEX('Utilization Data'!$C$5:$V$364,0,MATCH($E18,'Utilization Data'!$C$4:$V$4,0)))</f>
        <v>0</v>
      </c>
      <c r="N18" t="s">
        <v>70</v>
      </c>
      <c r="P18">
        <f>SUMPRODUCT(((('Utilization Data'!$A$5:$A$364=Dashboard!$D$4)+(Dashboard!$D$4="All"))&gt;0)*(((('Utilization Data'!$B$5:$B$364=Dashboard!$D$14)+(Dashboard!$D$14="All"))&gt;0)),INDEX('Utilization Data'!$C$5:$V$364,0,MATCH($E18,'Utilization Data'!$C$4:$V$4,0)))</f>
        <v>0</v>
      </c>
      <c r="Q18" t="str">
        <f t="shared" si="0"/>
        <v/>
      </c>
      <c r="R18" t="str">
        <f>IFERROR(AVERAGEIFS(MISData[Quality %],MISData[Month],IF(Dashboard!$D$4="All","*",Dashboard!$D$4),MISData[Client Name],$E18),"")</f>
        <v/>
      </c>
      <c r="S18">
        <f t="shared" si="1"/>
        <v>0</v>
      </c>
      <c r="T18">
        <f t="shared" si="2"/>
        <v>0</v>
      </c>
    </row>
    <row r="19" spans="5:20" ht="15" customHeight="1" x14ac:dyDescent="0.35">
      <c r="E19" t="s">
        <v>71</v>
      </c>
      <c r="F19">
        <f>SUMPRODUCT((((('Utilization Data'!$A$5:$A$364=Dashboard!$D$4)+(Dashboard!$D$4="All"))&gt;0))*1,INDEX('Utilization Data'!$C$5:$V$364,0,MATCH($E19,'Utilization Data'!$C$4:$V$4,0)))</f>
        <v>0</v>
      </c>
      <c r="N19" t="s">
        <v>71</v>
      </c>
      <c r="P19">
        <f>SUMPRODUCT(((('Utilization Data'!$A$5:$A$364=Dashboard!$D$4)+(Dashboard!$D$4="All"))&gt;0)*(((('Utilization Data'!$B$5:$B$364=Dashboard!$D$14)+(Dashboard!$D$14="All"))&gt;0)),INDEX('Utilization Data'!$C$5:$V$364,0,MATCH($E19,'Utilization Data'!$C$4:$V$4,0)))</f>
        <v>0</v>
      </c>
      <c r="Q19" t="str">
        <f t="shared" si="0"/>
        <v/>
      </c>
      <c r="R19" t="str">
        <f>IFERROR(AVERAGEIFS(MISData[Quality %],MISData[Month],IF(Dashboard!$D$4="All","*",Dashboard!$D$4),MISData[Client Name],$E19),"")</f>
        <v/>
      </c>
      <c r="S19">
        <f t="shared" si="1"/>
        <v>0</v>
      </c>
      <c r="T19">
        <f t="shared" si="2"/>
        <v>0</v>
      </c>
    </row>
    <row r="20" spans="5:20" ht="15" customHeight="1" x14ac:dyDescent="0.35">
      <c r="E20" t="s">
        <v>72</v>
      </c>
      <c r="F20">
        <f>SUMPRODUCT((((('Utilization Data'!$A$5:$A$364=Dashboard!$D$4)+(Dashboard!$D$4="All"))&gt;0))*1,INDEX('Utilization Data'!$C$5:$V$364,0,MATCH($E20,'Utilization Data'!$C$4:$V$4,0)))</f>
        <v>0</v>
      </c>
      <c r="N20" t="s">
        <v>72</v>
      </c>
      <c r="P20">
        <f>SUMPRODUCT(((('Utilization Data'!$A$5:$A$364=Dashboard!$D$4)+(Dashboard!$D$4="All"))&gt;0)*(((('Utilization Data'!$B$5:$B$364=Dashboard!$D$14)+(Dashboard!$D$14="All"))&gt;0)),INDEX('Utilization Data'!$C$5:$V$364,0,MATCH($E20,'Utilization Data'!$C$4:$V$4,0)))</f>
        <v>0</v>
      </c>
      <c r="Q20" t="str">
        <f t="shared" si="0"/>
        <v/>
      </c>
      <c r="R20" t="str">
        <f>IFERROR(AVERAGEIFS(MISData[Quality %],MISData[Month],IF(Dashboard!$D$4="All","*",Dashboard!$D$4),MISData[Client Name],$E20),"")</f>
        <v/>
      </c>
      <c r="S20">
        <f t="shared" si="1"/>
        <v>0</v>
      </c>
      <c r="T20">
        <f t="shared" si="2"/>
        <v>0</v>
      </c>
    </row>
    <row r="21" spans="5:20" ht="15" customHeight="1" x14ac:dyDescent="0.35">
      <c r="E21" t="s">
        <v>73</v>
      </c>
      <c r="F21">
        <f>SUMPRODUCT((((('Utilization Data'!$A$5:$A$364=Dashboard!$D$4)+(Dashboard!$D$4="All"))&gt;0))*1,INDEX('Utilization Data'!$C$5:$V$364,0,MATCH($E21,'Utilization Data'!$C$4:$V$4,0)))</f>
        <v>89</v>
      </c>
      <c r="N21" t="s">
        <v>73</v>
      </c>
      <c r="P21">
        <f>SUMPRODUCT(((('Utilization Data'!$A$5:$A$364=Dashboard!$D$4)+(Dashboard!$D$4="All"))&gt;0)*(((('Utilization Data'!$B$5:$B$364=Dashboard!$D$14)+(Dashboard!$D$14="All"))&gt;0)),INDEX('Utilization Data'!$C$5:$V$364,0,MATCH($E21,'Utilization Data'!$C$4:$V$4,0)))</f>
        <v>0</v>
      </c>
      <c r="Q21" t="str">
        <f t="shared" si="0"/>
        <v/>
      </c>
      <c r="R21" t="str">
        <f>IFERROR(AVERAGEIFS(MISData[Quality %],MISData[Month],IF(Dashboard!$D$4="All","*",Dashboard!$D$4),MISData[Client Name],$E21),"")</f>
        <v/>
      </c>
      <c r="S21">
        <f t="shared" si="1"/>
        <v>0</v>
      </c>
      <c r="T21">
        <f t="shared" si="2"/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4"/>
  <sheetViews>
    <sheetView showGridLines="0" zoomScaleNormal="100" workbookViewId="0">
      <selection activeCell="E7" sqref="E7:F7"/>
    </sheetView>
  </sheetViews>
  <sheetFormatPr defaultColWidth="8.7265625" defaultRowHeight="14.5" x14ac:dyDescent="0.35"/>
  <cols>
    <col min="1" max="1" width="4.453125" customWidth="1"/>
    <col min="2" max="2" width="16.1796875" customWidth="1"/>
    <col min="3" max="7" width="12" customWidth="1"/>
  </cols>
  <sheetData>
    <row r="1" spans="1:8" ht="25.5" customHeight="1" x14ac:dyDescent="0.35">
      <c r="A1" s="30" t="s">
        <v>124</v>
      </c>
      <c r="B1" s="30"/>
      <c r="C1" s="30"/>
      <c r="D1" s="30"/>
      <c r="E1" s="30"/>
      <c r="F1" s="30"/>
      <c r="G1" s="30"/>
    </row>
    <row r="2" spans="1:8" ht="15" customHeight="1" x14ac:dyDescent="0.35">
      <c r="A2" s="41" t="s">
        <v>125</v>
      </c>
      <c r="B2" s="41"/>
      <c r="C2" s="41"/>
      <c r="D2" s="41"/>
      <c r="E2" s="41"/>
      <c r="F2" s="41"/>
      <c r="G2" s="41"/>
    </row>
    <row r="3" spans="1:8" ht="15" customHeight="1" x14ac:dyDescent="0.35"/>
    <row r="4" spans="1:8" ht="19.5" customHeight="1" x14ac:dyDescent="0.35">
      <c r="A4" s="29" t="s">
        <v>126</v>
      </c>
      <c r="B4" s="56" t="str">
        <f>Dashboard!$D$14</f>
        <v>Rakshitha D</v>
      </c>
      <c r="C4" s="56"/>
      <c r="D4" s="29" t="s">
        <v>127</v>
      </c>
      <c r="E4" s="56" t="str">
        <f>Dashboard!$D$4</f>
        <v>January</v>
      </c>
      <c r="F4" s="56"/>
    </row>
    <row r="6" spans="1:8" ht="18" customHeight="1" x14ac:dyDescent="0.35">
      <c r="A6" s="57" t="s">
        <v>128</v>
      </c>
      <c r="B6" s="57"/>
      <c r="C6" s="57" t="s">
        <v>129</v>
      </c>
      <c r="D6" s="57"/>
      <c r="E6" s="57" t="s">
        <v>11</v>
      </c>
      <c r="F6" s="57"/>
      <c r="G6" s="9"/>
      <c r="H6" s="9"/>
    </row>
    <row r="7" spans="1:8" ht="25.5" customHeight="1" x14ac:dyDescent="0.35">
      <c r="A7" s="58">
        <f>SUM(ChartData!$P$2:$P$21)</f>
        <v>148</v>
      </c>
      <c r="B7" s="58"/>
      <c r="C7" s="59">
        <f>COUNTIF(ChartData!$P$2:$P$21,"&gt;0")</f>
        <v>4</v>
      </c>
      <c r="D7" s="59"/>
      <c r="E7" s="60">
        <f>IF(SUMPRODUCT(ChartData!$P$2:$P$21*ChartData!$T$2:$T$21)=0,"N/A",SUMPRODUCT(ChartData!$P$2:$P$21*ChartData!$S$2:$S$21*ChartData!$T$2:$T$21)/SUMPRODUCT(ChartData!$P$2:$P$21*ChartData!$T$2:$T$21))</f>
        <v>0.97827988338192406</v>
      </c>
      <c r="F7" s="60"/>
      <c r="G7" s="9"/>
      <c r="H7" s="9"/>
    </row>
    <row r="8" spans="1:8" ht="15" customHeight="1" x14ac:dyDescent="0.35">
      <c r="A8" s="9"/>
      <c r="B8" s="9"/>
      <c r="C8" s="9"/>
      <c r="D8" s="9"/>
      <c r="E8" s="9"/>
      <c r="F8" s="9"/>
      <c r="G8" s="9"/>
      <c r="H8" s="9"/>
    </row>
    <row r="9" spans="1:8" ht="18" customHeight="1" x14ac:dyDescent="0.35">
      <c r="A9" s="3" t="s">
        <v>18</v>
      </c>
      <c r="B9" s="61" t="s">
        <v>29</v>
      </c>
      <c r="C9" s="61"/>
      <c r="D9" s="3" t="s">
        <v>130</v>
      </c>
      <c r="E9" s="3" t="s">
        <v>11</v>
      </c>
      <c r="F9" s="9"/>
      <c r="G9" s="9"/>
      <c r="H9" s="9"/>
    </row>
    <row r="10" spans="1:8" ht="15" customHeight="1" x14ac:dyDescent="0.35">
      <c r="A10" s="6">
        <v>1</v>
      </c>
      <c r="B10" s="62" t="str">
        <f>IFERROR(INDEX(ChartData!$E$2:$E$21,MATCH(1,ChartData!$Q$2:$Q$21,0)),"")</f>
        <v>FCV</v>
      </c>
      <c r="C10" s="62"/>
      <c r="D10" s="8">
        <f>IFERROR(INDEX(ChartData!$P$2:$P$21,MATCH(1,ChartData!$Q$2:$Q$21,0)),"")</f>
        <v>12.5</v>
      </c>
      <c r="E10" s="11" t="str">
        <f>IFERROR(INDEX(ChartData!$R$2:$R$21,MATCH(1,ChartData!$Q$2:$Q$21,0)),"")</f>
        <v/>
      </c>
      <c r="F10" s="9"/>
      <c r="G10" s="9"/>
      <c r="H10" s="9"/>
    </row>
    <row r="11" spans="1:8" ht="15" customHeight="1" x14ac:dyDescent="0.35">
      <c r="A11" s="6">
        <v>2</v>
      </c>
      <c r="B11" s="62" t="str">
        <f>IFERROR(INDEX(ChartData!$E$2:$E$21,MATCH(2,ChartData!$Q$2:$Q$21,0)),"")</f>
        <v>Alpha Appraisal</v>
      </c>
      <c r="C11" s="62"/>
      <c r="D11" s="8">
        <f>IFERROR(INDEX(ChartData!$P$2:$P$21,MATCH(2,ChartData!$Q$2:$Q$21,0)),"")</f>
        <v>37.25</v>
      </c>
      <c r="E11" s="11">
        <f>IFERROR(INDEX(ChartData!$R$2:$R$21,MATCH(2,ChartData!$Q$2:$Q$21,0)),"")</f>
        <v>0.95</v>
      </c>
      <c r="F11" s="9"/>
      <c r="G11" s="9"/>
      <c r="H11" s="9"/>
    </row>
    <row r="12" spans="1:8" ht="15" customHeight="1" x14ac:dyDescent="0.35">
      <c r="A12" s="6">
        <v>3</v>
      </c>
      <c r="B12" s="62" t="str">
        <f>IFERROR(INDEX(ChartData!$E$2:$E$21,MATCH(3,ChartData!$Q$2:$Q$21,0)),"")</f>
        <v>Southwest Property Consultants</v>
      </c>
      <c r="C12" s="62"/>
      <c r="D12" s="8">
        <f>IFERROR(INDEX(ChartData!$P$2:$P$21,MATCH(3,ChartData!$Q$2:$Q$21,0)),"")</f>
        <v>49.75</v>
      </c>
      <c r="E12" s="11" t="str">
        <f>IFERROR(INDEX(ChartData!$R$2:$R$21,MATCH(3,ChartData!$Q$2:$Q$21,0)),"")</f>
        <v/>
      </c>
      <c r="F12" s="9"/>
      <c r="G12" s="9"/>
      <c r="H12" s="9"/>
    </row>
    <row r="13" spans="1:8" ht="15" customHeight="1" x14ac:dyDescent="0.35">
      <c r="A13" s="6">
        <v>4</v>
      </c>
      <c r="B13" s="62" t="str">
        <f>IFERROR(INDEX(ChartData!$E$2:$E$21,MATCH(4,ChartData!$Q$2:$Q$21,0)),"")</f>
        <v>DP Appraisal</v>
      </c>
      <c r="C13" s="62"/>
      <c r="D13" s="8">
        <f>IFERROR(INDEX(ChartData!$P$2:$P$21,MATCH(4,ChartData!$Q$2:$Q$21,0)),"")</f>
        <v>48.5</v>
      </c>
      <c r="E13" s="11">
        <f>IFERROR(INDEX(ChartData!$R$2:$R$21,MATCH(4,ChartData!$Q$2:$Q$21,0)),"")</f>
        <v>1</v>
      </c>
      <c r="F13" s="9"/>
      <c r="G13" s="9"/>
      <c r="H13" s="9"/>
    </row>
    <row r="14" spans="1:8" ht="15" customHeight="1" x14ac:dyDescent="0.35">
      <c r="A14" s="6">
        <v>5</v>
      </c>
      <c r="B14" s="62" t="str">
        <f>IFERROR(INDEX(ChartData!$E$2:$E$21,MATCH(5,ChartData!$Q$2:$Q$21,0)),"")</f>
        <v/>
      </c>
      <c r="C14" s="62"/>
      <c r="D14" s="8" t="str">
        <f>IFERROR(INDEX(ChartData!$P$2:$P$21,MATCH(5,ChartData!$Q$2:$Q$21,0)),"")</f>
        <v/>
      </c>
      <c r="E14" s="11" t="str">
        <f>IFERROR(INDEX(ChartData!$R$2:$R$21,MATCH(5,ChartData!$Q$2:$Q$21,0)),"")</f>
        <v/>
      </c>
      <c r="F14" s="9"/>
      <c r="G14" s="9"/>
      <c r="H14" s="9"/>
    </row>
    <row r="15" spans="1:8" ht="15" customHeight="1" x14ac:dyDescent="0.35">
      <c r="A15" s="6">
        <v>6</v>
      </c>
      <c r="B15" s="62" t="str">
        <f>IFERROR(INDEX(ChartData!$E$2:$E$21,MATCH(6,ChartData!$Q$2:$Q$21,0)),"")</f>
        <v/>
      </c>
      <c r="C15" s="62"/>
      <c r="D15" s="8" t="str">
        <f>IFERROR(INDEX(ChartData!$P$2:$P$21,MATCH(6,ChartData!$Q$2:$Q$21,0)),"")</f>
        <v/>
      </c>
      <c r="E15" s="11" t="str">
        <f>IFERROR(INDEX(ChartData!$R$2:$R$21,MATCH(6,ChartData!$Q$2:$Q$21,0)),"")</f>
        <v/>
      </c>
      <c r="F15" s="9"/>
      <c r="G15" s="9"/>
      <c r="H15" s="9"/>
    </row>
    <row r="16" spans="1:8" ht="15" customHeight="1" x14ac:dyDescent="0.35">
      <c r="A16" s="6">
        <v>7</v>
      </c>
      <c r="B16" s="62" t="str">
        <f>IFERROR(INDEX(ChartData!$E$2:$E$21,MATCH(7,ChartData!$Q$2:$Q$21,0)),"")</f>
        <v/>
      </c>
      <c r="C16" s="62"/>
      <c r="D16" s="8" t="str">
        <f>IFERROR(INDEX(ChartData!$P$2:$P$21,MATCH(7,ChartData!$Q$2:$Q$21,0)),"")</f>
        <v/>
      </c>
      <c r="E16" s="11" t="str">
        <f>IFERROR(INDEX(ChartData!$R$2:$R$21,MATCH(7,ChartData!$Q$2:$Q$21,0)),"")</f>
        <v/>
      </c>
      <c r="F16" s="9"/>
      <c r="G16" s="9"/>
      <c r="H16" s="9"/>
    </row>
    <row r="17" spans="1:8" ht="15" customHeight="1" x14ac:dyDescent="0.35">
      <c r="A17" s="6">
        <v>8</v>
      </c>
      <c r="B17" s="62" t="str">
        <f>IFERROR(INDEX(ChartData!$E$2:$E$21,MATCH(8,ChartData!$Q$2:$Q$21,0)),"")</f>
        <v/>
      </c>
      <c r="C17" s="62"/>
      <c r="D17" s="8" t="str">
        <f>IFERROR(INDEX(ChartData!$P$2:$P$21,MATCH(8,ChartData!$Q$2:$Q$21,0)),"")</f>
        <v/>
      </c>
      <c r="E17" s="11" t="str">
        <f>IFERROR(INDEX(ChartData!$R$2:$R$21,MATCH(8,ChartData!$Q$2:$Q$21,0)),"")</f>
        <v/>
      </c>
      <c r="F17" s="9"/>
      <c r="G17" s="9"/>
      <c r="H17" s="9"/>
    </row>
    <row r="18" spans="1:8" ht="15" customHeight="1" x14ac:dyDescent="0.35">
      <c r="A18" s="6">
        <v>9</v>
      </c>
      <c r="B18" s="62" t="str">
        <f>IFERROR(INDEX(ChartData!$E$2:$E$21,MATCH(9,ChartData!$Q$2:$Q$21,0)),"")</f>
        <v/>
      </c>
      <c r="C18" s="62"/>
      <c r="D18" s="8" t="str">
        <f>IFERROR(INDEX(ChartData!$P$2:$P$21,MATCH(9,ChartData!$Q$2:$Q$21,0)),"")</f>
        <v/>
      </c>
      <c r="E18" s="11" t="str">
        <f>IFERROR(INDEX(ChartData!$R$2:$R$21,MATCH(9,ChartData!$Q$2:$Q$21,0)),"")</f>
        <v/>
      </c>
      <c r="F18" s="9"/>
      <c r="G18" s="9"/>
      <c r="H18" s="9"/>
    </row>
    <row r="19" spans="1:8" ht="15" customHeight="1" x14ac:dyDescent="0.35">
      <c r="A19" s="6">
        <v>10</v>
      </c>
      <c r="B19" s="62" t="str">
        <f>IFERROR(INDEX(ChartData!$E$2:$E$21,MATCH(10,ChartData!$Q$2:$Q$21,0)),"")</f>
        <v/>
      </c>
      <c r="C19" s="62"/>
      <c r="D19" s="8" t="str">
        <f>IFERROR(INDEX(ChartData!$P$2:$P$21,MATCH(10,ChartData!$Q$2:$Q$21,0)),"")</f>
        <v/>
      </c>
      <c r="E19" s="11" t="str">
        <f>IFERROR(INDEX(ChartData!$R$2:$R$21,MATCH(10,ChartData!$Q$2:$Q$21,0)),"")</f>
        <v/>
      </c>
      <c r="F19" s="9"/>
      <c r="G19" s="9"/>
      <c r="H19" s="9"/>
    </row>
    <row r="20" spans="1:8" ht="15" customHeight="1" x14ac:dyDescent="0.35">
      <c r="A20" s="6">
        <v>11</v>
      </c>
      <c r="B20" s="62" t="str">
        <f>IFERROR(INDEX(ChartData!$E$2:$E$21,MATCH(11,ChartData!$Q$2:$Q$21,0)),"")</f>
        <v/>
      </c>
      <c r="C20" s="62"/>
      <c r="D20" s="8" t="str">
        <f>IFERROR(INDEX(ChartData!$P$2:$P$21,MATCH(11,ChartData!$Q$2:$Q$21,0)),"")</f>
        <v/>
      </c>
      <c r="E20" s="11" t="str">
        <f>IFERROR(INDEX(ChartData!$R$2:$R$21,MATCH(11,ChartData!$Q$2:$Q$21,0)),"")</f>
        <v/>
      </c>
      <c r="F20" s="9"/>
      <c r="G20" s="9"/>
      <c r="H20" s="9"/>
    </row>
    <row r="21" spans="1:8" ht="15" customHeight="1" x14ac:dyDescent="0.35">
      <c r="A21" s="6">
        <v>12</v>
      </c>
      <c r="B21" s="62" t="str">
        <f>IFERROR(INDEX(ChartData!$E$2:$E$21,MATCH(12,ChartData!$Q$2:$Q$21,0)),"")</f>
        <v/>
      </c>
      <c r="C21" s="62"/>
      <c r="D21" s="8" t="str">
        <f>IFERROR(INDEX(ChartData!$P$2:$P$21,MATCH(12,ChartData!$Q$2:$Q$21,0)),"")</f>
        <v/>
      </c>
      <c r="E21" s="11" t="str">
        <f>IFERROR(INDEX(ChartData!$R$2:$R$21,MATCH(12,ChartData!$Q$2:$Q$21,0)),"")</f>
        <v/>
      </c>
      <c r="F21" s="9"/>
      <c r="G21" s="9"/>
      <c r="H21" s="9"/>
    </row>
    <row r="22" spans="1:8" ht="15" customHeight="1" x14ac:dyDescent="0.35">
      <c r="A22" s="6">
        <v>13</v>
      </c>
      <c r="B22" s="62" t="str">
        <f>IFERROR(INDEX(ChartData!$E$2:$E$21,MATCH(13,ChartData!$Q$2:$Q$21,0)),"")</f>
        <v/>
      </c>
      <c r="C22" s="62"/>
      <c r="D22" s="8" t="str">
        <f>IFERROR(INDEX(ChartData!$P$2:$P$21,MATCH(13,ChartData!$Q$2:$Q$21,0)),"")</f>
        <v/>
      </c>
      <c r="E22" s="11" t="str">
        <f>IFERROR(INDEX(ChartData!$R$2:$R$21,MATCH(13,ChartData!$Q$2:$Q$21,0)),"")</f>
        <v/>
      </c>
      <c r="F22" s="9"/>
      <c r="G22" s="9"/>
      <c r="H22" s="9"/>
    </row>
    <row r="23" spans="1:8" ht="15" customHeight="1" x14ac:dyDescent="0.35">
      <c r="A23" s="6">
        <v>14</v>
      </c>
      <c r="B23" s="62" t="str">
        <f>IFERROR(INDEX(ChartData!$E$2:$E$21,MATCH(14,ChartData!$Q$2:$Q$21,0)),"")</f>
        <v/>
      </c>
      <c r="C23" s="62"/>
      <c r="D23" s="8" t="str">
        <f>IFERROR(INDEX(ChartData!$P$2:$P$21,MATCH(14,ChartData!$Q$2:$Q$21,0)),"")</f>
        <v/>
      </c>
      <c r="E23" s="11" t="str">
        <f>IFERROR(INDEX(ChartData!$R$2:$R$21,MATCH(14,ChartData!$Q$2:$Q$21,0)),"")</f>
        <v/>
      </c>
      <c r="F23" s="9"/>
      <c r="G23" s="9"/>
      <c r="H23" s="9"/>
    </row>
    <row r="24" spans="1:8" ht="15" customHeight="1" x14ac:dyDescent="0.35">
      <c r="A24" s="6">
        <v>15</v>
      </c>
      <c r="B24" s="62" t="str">
        <f>IFERROR(INDEX(ChartData!$E$2:$E$21,MATCH(15,ChartData!$Q$2:$Q$21,0)),"")</f>
        <v/>
      </c>
      <c r="C24" s="62"/>
      <c r="D24" s="8" t="str">
        <f>IFERROR(INDEX(ChartData!$P$2:$P$21,MATCH(15,ChartData!$Q$2:$Q$21,0)),"")</f>
        <v/>
      </c>
      <c r="E24" s="11" t="str">
        <f>IFERROR(INDEX(ChartData!$R$2:$R$21,MATCH(15,ChartData!$Q$2:$Q$21,0)),"")</f>
        <v/>
      </c>
      <c r="F24" s="9"/>
      <c r="G24" s="9"/>
      <c r="H24" s="9"/>
    </row>
    <row r="25" spans="1:8" ht="15" customHeight="1" x14ac:dyDescent="0.35">
      <c r="A25" s="6">
        <v>16</v>
      </c>
      <c r="B25" s="62" t="str">
        <f>IFERROR(INDEX(ChartData!$E$2:$E$21,MATCH(16,ChartData!$Q$2:$Q$21,0)),"")</f>
        <v/>
      </c>
      <c r="C25" s="62"/>
      <c r="D25" s="8" t="str">
        <f>IFERROR(INDEX(ChartData!$P$2:$P$21,MATCH(16,ChartData!$Q$2:$Q$21,0)),"")</f>
        <v/>
      </c>
      <c r="E25" s="11" t="str">
        <f>IFERROR(INDEX(ChartData!$R$2:$R$21,MATCH(16,ChartData!$Q$2:$Q$21,0)),"")</f>
        <v/>
      </c>
      <c r="F25" s="9"/>
      <c r="G25" s="9"/>
      <c r="H25" s="9"/>
    </row>
    <row r="26" spans="1:8" ht="15" customHeight="1" x14ac:dyDescent="0.35">
      <c r="A26" s="6">
        <v>17</v>
      </c>
      <c r="B26" s="62" t="str">
        <f>IFERROR(INDEX(ChartData!$E$2:$E$21,MATCH(17,ChartData!$Q$2:$Q$21,0)),"")</f>
        <v/>
      </c>
      <c r="C26" s="62"/>
      <c r="D26" s="8" t="str">
        <f>IFERROR(INDEX(ChartData!$P$2:$P$21,MATCH(17,ChartData!$Q$2:$Q$21,0)),"")</f>
        <v/>
      </c>
      <c r="E26" s="11" t="str">
        <f>IFERROR(INDEX(ChartData!$R$2:$R$21,MATCH(17,ChartData!$Q$2:$Q$21,0)),"")</f>
        <v/>
      </c>
      <c r="F26" s="9"/>
      <c r="G26" s="9"/>
      <c r="H26" s="9"/>
    </row>
    <row r="27" spans="1:8" ht="15" customHeight="1" x14ac:dyDescent="0.35">
      <c r="A27" s="6">
        <v>18</v>
      </c>
      <c r="B27" s="62" t="str">
        <f>IFERROR(INDEX(ChartData!$E$2:$E$21,MATCH(18,ChartData!$Q$2:$Q$21,0)),"")</f>
        <v/>
      </c>
      <c r="C27" s="62"/>
      <c r="D27" s="8" t="str">
        <f>IFERROR(INDEX(ChartData!$P$2:$P$21,MATCH(18,ChartData!$Q$2:$Q$21,0)),"")</f>
        <v/>
      </c>
      <c r="E27" s="11" t="str">
        <f>IFERROR(INDEX(ChartData!$R$2:$R$21,MATCH(18,ChartData!$Q$2:$Q$21,0)),"")</f>
        <v/>
      </c>
      <c r="F27" s="9"/>
      <c r="G27" s="9"/>
      <c r="H27" s="9"/>
    </row>
    <row r="28" spans="1:8" ht="15" customHeight="1" x14ac:dyDescent="0.35">
      <c r="A28" s="6">
        <v>19</v>
      </c>
      <c r="B28" s="62" t="str">
        <f>IFERROR(INDEX(ChartData!$E$2:$E$21,MATCH(19,ChartData!$Q$2:$Q$21,0)),"")</f>
        <v/>
      </c>
      <c r="C28" s="62"/>
      <c r="D28" s="8" t="str">
        <f>IFERROR(INDEX(ChartData!$P$2:$P$21,MATCH(19,ChartData!$Q$2:$Q$21,0)),"")</f>
        <v/>
      </c>
      <c r="E28" s="11" t="str">
        <f>IFERROR(INDEX(ChartData!$R$2:$R$21,MATCH(19,ChartData!$Q$2:$Q$21,0)),"")</f>
        <v/>
      </c>
      <c r="F28" s="9"/>
      <c r="G28" s="9"/>
      <c r="H28" s="9"/>
    </row>
    <row r="29" spans="1:8" ht="15" customHeight="1" x14ac:dyDescent="0.35">
      <c r="A29" s="6">
        <v>20</v>
      </c>
      <c r="B29" s="62" t="str">
        <f>IFERROR(INDEX(ChartData!$E$2:$E$21,MATCH(20,ChartData!$Q$2:$Q$21,0)),"")</f>
        <v/>
      </c>
      <c r="C29" s="62"/>
      <c r="D29" s="8" t="str">
        <f>IFERROR(INDEX(ChartData!$P$2:$P$21,MATCH(20,ChartData!$Q$2:$Q$21,0)),"")</f>
        <v/>
      </c>
      <c r="E29" s="11" t="str">
        <f>IFERROR(INDEX(ChartData!$R$2:$R$21,MATCH(20,ChartData!$Q$2:$Q$21,0)),"")</f>
        <v/>
      </c>
      <c r="F29" s="9"/>
      <c r="G29" s="9"/>
      <c r="H29" s="9"/>
    </row>
    <row r="30" spans="1:8" ht="15" customHeight="1" x14ac:dyDescent="0.35">
      <c r="A30" s="63" t="s">
        <v>131</v>
      </c>
      <c r="B30" s="63"/>
      <c r="C30" s="63"/>
      <c r="D30" s="13">
        <f>SUM(D10:D29)</f>
        <v>148</v>
      </c>
      <c r="E30" s="15">
        <f>E7</f>
        <v>0.97827988338192406</v>
      </c>
      <c r="F30" s="9"/>
      <c r="G30" s="9"/>
      <c r="H30" s="9"/>
    </row>
    <row r="31" spans="1:8" ht="15" customHeight="1" x14ac:dyDescent="0.35">
      <c r="A31" s="9"/>
      <c r="B31" s="9"/>
      <c r="C31" s="9"/>
      <c r="D31" s="9"/>
      <c r="E31" s="9"/>
      <c r="F31" s="9"/>
      <c r="G31" s="9"/>
      <c r="H31" s="9"/>
    </row>
    <row r="32" spans="1:8" ht="15" customHeight="1" x14ac:dyDescent="0.35">
      <c r="A32" s="9"/>
      <c r="B32" s="9"/>
      <c r="C32" s="9"/>
      <c r="D32" s="9"/>
      <c r="E32" s="9"/>
      <c r="F32" s="9"/>
      <c r="G32" s="9"/>
      <c r="H32" s="9"/>
    </row>
    <row r="33" spans="1:8" ht="15" customHeight="1" x14ac:dyDescent="0.35">
      <c r="A33" s="9"/>
      <c r="B33" s="9"/>
      <c r="C33" s="9"/>
      <c r="D33" s="9"/>
      <c r="E33" s="9"/>
      <c r="F33" s="9"/>
      <c r="G33" s="9"/>
      <c r="H33" s="9"/>
    </row>
    <row r="34" spans="1:8" ht="15" customHeight="1" x14ac:dyDescent="0.35">
      <c r="A34" s="9"/>
      <c r="B34" s="9"/>
      <c r="C34" s="9"/>
      <c r="D34" s="9"/>
      <c r="E34" s="9"/>
      <c r="F34" s="9"/>
      <c r="G34" s="9"/>
      <c r="H34" s="9"/>
    </row>
  </sheetData>
  <mergeCells count="32">
    <mergeCell ref="B26:C26"/>
    <mergeCell ref="B27:C27"/>
    <mergeCell ref="B28:C28"/>
    <mergeCell ref="B29:C29"/>
    <mergeCell ref="A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A7:B7"/>
    <mergeCell ref="C7:D7"/>
    <mergeCell ref="E7:F7"/>
    <mergeCell ref="B9:C9"/>
    <mergeCell ref="B10:C10"/>
    <mergeCell ref="A1:G1"/>
    <mergeCell ref="A2:G2"/>
    <mergeCell ref="B4:C4"/>
    <mergeCell ref="E4:F4"/>
    <mergeCell ref="A6:B6"/>
    <mergeCell ref="C6:D6"/>
    <mergeCell ref="E6:F6"/>
  </mergeCell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400-000000000000}">
          <x14:formula1>
            <xm:f>_Lists!$A$1:$A$7</xm:f>
          </x14:formula1>
          <x14:formula2>
            <xm:f>0</xm:f>
          </x14:formula2>
          <xm:sqref>B1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51"/>
  <sheetViews>
    <sheetView zoomScaleNormal="100" workbookViewId="0"/>
  </sheetViews>
  <sheetFormatPr defaultColWidth="8.7265625" defaultRowHeight="14.5" x14ac:dyDescent="0.35"/>
  <sheetData>
    <row r="1" spans="1:3" ht="15" customHeight="1" x14ac:dyDescent="0.35">
      <c r="A1">
        <f>SUMIFS(MISData[Files Received],MISData[Month],IF($D$4="All","*",$D$4),MISData[Client Name],IF($G$4="All","*",$G$4))</f>
        <v>0</v>
      </c>
      <c r="C1" t="s">
        <v>23</v>
      </c>
    </row>
    <row r="2" spans="1:3" ht="15" customHeight="1" x14ac:dyDescent="0.35">
      <c r="A2">
        <f>SUMIFS(MISData[Pending Files],MISData[Month],IF($D$4="All","*",$D$4),MISData[Client Name],IF($G$4="All","*",$G$4))</f>
        <v>0</v>
      </c>
      <c r="C2" t="str">
        <f>IFERROR(INDEX('Utilization Data'!$B$5:$B$364,MATCH(1,'Utilization Data'!$AF$5:$AF$364,0)),"")</f>
        <v>Sanjay</v>
      </c>
    </row>
    <row r="3" spans="1:3" ht="15" customHeight="1" x14ac:dyDescent="0.35">
      <c r="A3" t="s">
        <v>1</v>
      </c>
      <c r="C3" t="str">
        <f>IFERROR(INDEX('Utilization Data'!$B$5:$B$364,MATCH(2,'Utilization Data'!$AF$5:$AF$364,0)),"")</f>
        <v>Rakshitha D</v>
      </c>
    </row>
    <row r="4" spans="1:3" ht="15" customHeight="1" x14ac:dyDescent="0.35">
      <c r="A4" t="s">
        <v>8</v>
      </c>
      <c r="C4" t="str">
        <f>IFERROR(INDEX('Utilization Data'!$B$5:$B$364,MATCH(3,'Utilization Data'!$AF$5:$AF$364,0)),"")</f>
        <v>Vinith</v>
      </c>
    </row>
    <row r="5" spans="1:3" ht="15" customHeight="1" x14ac:dyDescent="0.35">
      <c r="A5" t="s">
        <v>2</v>
      </c>
      <c r="C5" t="str">
        <f>IFERROR(INDEX('Utilization Data'!$B$5:$B$364,MATCH(4,'Utilization Data'!$AF$5:$AF$364,0)),"")</f>
        <v>Abinaya K</v>
      </c>
    </row>
    <row r="6" spans="1:3" ht="15" customHeight="1" x14ac:dyDescent="0.35">
      <c r="A6" t="s">
        <v>12</v>
      </c>
      <c r="C6" t="str">
        <f>IFERROR(INDEX('Utilization Data'!$B$5:$B$364,MATCH(5,'Utilization Data'!$AF$5:$AF$364,0)),"")</f>
        <v>Subhicksha K</v>
      </c>
    </row>
    <row r="7" spans="1:3" ht="15" customHeight="1" x14ac:dyDescent="0.35">
      <c r="A7" t="s">
        <v>16</v>
      </c>
      <c r="C7" t="str">
        <f>IFERROR(INDEX('Utilization Data'!$B$5:$B$364,MATCH(6,'Utilization Data'!$AF$5:$AF$364,0)),"")</f>
        <v>Shrihari S</v>
      </c>
    </row>
    <row r="8" spans="1:3" ht="15" customHeight="1" x14ac:dyDescent="0.35">
      <c r="C8" t="str">
        <f>IFERROR(INDEX('Utilization Data'!$B$5:$B$364,MATCH(7,'Utilization Data'!$AF$5:$AF$364,0)),"")</f>
        <v>Madhusree</v>
      </c>
    </row>
    <row r="9" spans="1:3" ht="15" customHeight="1" x14ac:dyDescent="0.35">
      <c r="C9" t="str">
        <f>IFERROR(INDEX('Utilization Data'!$B$5:$B$364,MATCH(8,'Utilization Data'!$AF$5:$AF$364,0)),"")</f>
        <v>Ramkumar</v>
      </c>
    </row>
    <row r="10" spans="1:3" ht="15" customHeight="1" x14ac:dyDescent="0.35">
      <c r="C10" t="str">
        <f>IFERROR(INDEX('Utilization Data'!$B$5:$B$364,MATCH(9,'Utilization Data'!$AF$5:$AF$364,0)),"")</f>
        <v>Reethika S</v>
      </c>
    </row>
    <row r="11" spans="1:3" ht="15" customHeight="1" x14ac:dyDescent="0.35">
      <c r="C11" t="str">
        <f>IFERROR(INDEX('Utilization Data'!$B$5:$B$364,MATCH(10,'Utilization Data'!$AF$5:$AF$364,0)),"")</f>
        <v>Saran Kumar M</v>
      </c>
    </row>
    <row r="12" spans="1:3" ht="15" customHeight="1" x14ac:dyDescent="0.35">
      <c r="C12" t="str">
        <f>IFERROR(INDEX('Utilization Data'!$B$5:$B$364,MATCH(11,'Utilization Data'!$AF$5:$AF$364,0)),"")</f>
        <v>Miruthula Devi</v>
      </c>
    </row>
    <row r="13" spans="1:3" ht="15" customHeight="1" x14ac:dyDescent="0.35">
      <c r="C13" t="str">
        <f>IFERROR(INDEX('Utilization Data'!$B$5:$B$364,MATCH(12,'Utilization Data'!$AF$5:$AF$364,0)),"")</f>
        <v>Sahdev</v>
      </c>
    </row>
    <row r="14" spans="1:3" ht="15" customHeight="1" x14ac:dyDescent="0.35">
      <c r="C14" t="str">
        <f>IFERROR(INDEX('Utilization Data'!$B$5:$B$364,MATCH(13,'Utilization Data'!$AF$5:$AF$364,0)),"")</f>
        <v>Harsha</v>
      </c>
    </row>
    <row r="15" spans="1:3" ht="15" customHeight="1" x14ac:dyDescent="0.35">
      <c r="C15" t="str">
        <f>IFERROR(INDEX('Utilization Data'!$B$5:$B$364,MATCH(14,'Utilization Data'!$AF$5:$AF$364,0)),"")</f>
        <v>Sakthi Priya</v>
      </c>
    </row>
    <row r="16" spans="1:3" ht="15" customHeight="1" x14ac:dyDescent="0.35">
      <c r="C16" t="str">
        <f>IFERROR(INDEX('Utilization Data'!$B$5:$B$364,MATCH(15,'Utilization Data'!$AF$5:$AF$364,0)),"")</f>
        <v>Arun</v>
      </c>
    </row>
    <row r="17" spans="3:3" ht="15" customHeight="1" x14ac:dyDescent="0.35">
      <c r="C17" t="str">
        <f>IFERROR(INDEX('Utilization Data'!$B$5:$B$364,MATCH(16,'Utilization Data'!$AF$5:$AF$364,0)),"")</f>
        <v>Sreenidhi</v>
      </c>
    </row>
    <row r="18" spans="3:3" ht="15" customHeight="1" x14ac:dyDescent="0.35">
      <c r="C18" t="str">
        <f>IFERROR(INDEX('Utilization Data'!$B$5:$B$364,MATCH(17,'Utilization Data'!$AF$5:$AF$364,0)),"")</f>
        <v>Kishor Kumar K</v>
      </c>
    </row>
    <row r="19" spans="3:3" ht="15" customHeight="1" x14ac:dyDescent="0.35">
      <c r="C19" t="str">
        <f>IFERROR(INDEX('Utilization Data'!$B$5:$B$364,MATCH(18,'Utilization Data'!$AF$5:$AF$364,0)),"")</f>
        <v>Bharathi</v>
      </c>
    </row>
    <row r="20" spans="3:3" ht="15" customHeight="1" x14ac:dyDescent="0.35">
      <c r="C20" t="str">
        <f>IFERROR(INDEX('Utilization Data'!$B$5:$B$364,MATCH(19,'Utilization Data'!$AF$5:$AF$364,0)),"")</f>
        <v>Lydia</v>
      </c>
    </row>
    <row r="21" spans="3:3" ht="15" customHeight="1" x14ac:dyDescent="0.35">
      <c r="C21" t="str">
        <f>IFERROR(INDEX('Utilization Data'!$B$5:$B$364,MATCH(20,'Utilization Data'!$AF$5:$AF$364,0)),"")</f>
        <v>Bhuvanesh</v>
      </c>
    </row>
    <row r="22" spans="3:3" ht="15" customHeight="1" x14ac:dyDescent="0.35">
      <c r="C22" t="str">
        <f>IFERROR(INDEX('Utilization Data'!$B$5:$B$364,MATCH(21,'Utilization Data'!$AF$5:$AF$364,0)),"")</f>
        <v>Kamalee</v>
      </c>
    </row>
    <row r="23" spans="3:3" ht="15" customHeight="1" x14ac:dyDescent="0.35">
      <c r="C23" t="str">
        <f>IFERROR(INDEX('Utilization Data'!$B$5:$B$364,MATCH(22,'Utilization Data'!$AF$5:$AF$364,0)),"")</f>
        <v>Vidhyabharathiraj</v>
      </c>
    </row>
    <row r="24" spans="3:3" ht="15" customHeight="1" x14ac:dyDescent="0.35">
      <c r="C24" t="str">
        <f>IFERROR(INDEX('Utilization Data'!$B$5:$B$364,MATCH(23,'Utilization Data'!$AF$5:$AF$364,0)),"")</f>
        <v>Kaviraj</v>
      </c>
    </row>
    <row r="25" spans="3:3" ht="15" customHeight="1" x14ac:dyDescent="0.35">
      <c r="C25" t="str">
        <f>IFERROR(INDEX('Utilization Data'!$B$5:$B$364,MATCH(24,'Utilization Data'!$AF$5:$AF$364,0)),"")</f>
        <v>Kaamesh</v>
      </c>
    </row>
    <row r="26" spans="3:3" ht="15" customHeight="1" x14ac:dyDescent="0.35">
      <c r="C26" t="str">
        <f>IFERROR(INDEX('Utilization Data'!$B$5:$B$364,MATCH(25,'Utilization Data'!$AF$5:$AF$364,0)),"")</f>
        <v>Jerial</v>
      </c>
    </row>
    <row r="27" spans="3:3" ht="15" customHeight="1" x14ac:dyDescent="0.35">
      <c r="C27" t="str">
        <f>IFERROR(INDEX('Utilization Data'!$B$5:$B$364,MATCH(26,'Utilization Data'!$AF$5:$AF$364,0)),"")</f>
        <v>Vidya</v>
      </c>
    </row>
    <row r="28" spans="3:3" ht="15" customHeight="1" x14ac:dyDescent="0.35">
      <c r="C28" t="str">
        <f>IFERROR(INDEX('Utilization Data'!$B$5:$B$364,MATCH(27,'Utilization Data'!$AF$5:$AF$364,0)),"")</f>
        <v>Vishnupriya</v>
      </c>
    </row>
    <row r="29" spans="3:3" ht="15" customHeight="1" x14ac:dyDescent="0.35">
      <c r="C29" t="str">
        <f>IFERROR(INDEX('Utilization Data'!$B$5:$B$364,MATCH(28,'Utilization Data'!$AF$5:$AF$364,0)),"")</f>
        <v>Tejashree</v>
      </c>
    </row>
    <row r="30" spans="3:3" ht="15" customHeight="1" x14ac:dyDescent="0.35">
      <c r="C30" t="str">
        <f>IFERROR(INDEX('Utilization Data'!$B$5:$B$364,MATCH(29,'Utilization Data'!$AF$5:$AF$364,0)),"")</f>
        <v>Swathi</v>
      </c>
    </row>
    <row r="31" spans="3:3" ht="15" customHeight="1" x14ac:dyDescent="0.35">
      <c r="C31" t="str">
        <f>IFERROR(INDEX('Utilization Data'!$B$5:$B$364,MATCH(30,'Utilization Data'!$AF$5:$AF$364,0)),"")</f>
        <v>Arun Anbazhagan</v>
      </c>
    </row>
    <row r="32" spans="3:3" ht="15" customHeight="1" x14ac:dyDescent="0.35">
      <c r="C32" t="str">
        <f>IFERROR(INDEX('Utilization Data'!$B$5:$B$364,MATCH(31,'Utilization Data'!$AF$5:$AF$364,0)),"")</f>
        <v/>
      </c>
    </row>
    <row r="33" spans="3:3" ht="15" customHeight="1" x14ac:dyDescent="0.35">
      <c r="C33" t="str">
        <f>IFERROR(INDEX('Utilization Data'!$B$5:$B$364,MATCH(32,'Utilization Data'!$AF$5:$AF$364,0)),"")</f>
        <v/>
      </c>
    </row>
    <row r="34" spans="3:3" ht="15" customHeight="1" x14ac:dyDescent="0.35">
      <c r="C34" t="str">
        <f>IFERROR(INDEX('Utilization Data'!$B$5:$B$364,MATCH(33,'Utilization Data'!$AF$5:$AF$364,0)),"")</f>
        <v/>
      </c>
    </row>
    <row r="35" spans="3:3" ht="15" customHeight="1" x14ac:dyDescent="0.35">
      <c r="C35" t="str">
        <f>IFERROR(INDEX('Utilization Data'!$B$5:$B$364,MATCH(34,'Utilization Data'!$AF$5:$AF$364,0)),"")</f>
        <v/>
      </c>
    </row>
    <row r="36" spans="3:3" ht="15" customHeight="1" x14ac:dyDescent="0.35">
      <c r="C36" t="str">
        <f>IFERROR(INDEX('Utilization Data'!$B$5:$B$364,MATCH(35,'Utilization Data'!$AF$5:$AF$364,0)),"")</f>
        <v/>
      </c>
    </row>
    <row r="37" spans="3:3" ht="15" customHeight="1" x14ac:dyDescent="0.35">
      <c r="C37" t="str">
        <f>IFERROR(INDEX('Utilization Data'!$B$5:$B$364,MATCH(36,'Utilization Data'!$AF$5:$AF$364,0)),"")</f>
        <v/>
      </c>
    </row>
    <row r="38" spans="3:3" ht="15" customHeight="1" x14ac:dyDescent="0.35">
      <c r="C38" t="str">
        <f>IFERROR(INDEX('Utilization Data'!$B$5:$B$364,MATCH(37,'Utilization Data'!$AF$5:$AF$364,0)),"")</f>
        <v/>
      </c>
    </row>
    <row r="39" spans="3:3" ht="15" customHeight="1" x14ac:dyDescent="0.35">
      <c r="C39" t="str">
        <f>IFERROR(INDEX('Utilization Data'!$B$5:$B$364,MATCH(38,'Utilization Data'!$AF$5:$AF$364,0)),"")</f>
        <v/>
      </c>
    </row>
    <row r="40" spans="3:3" ht="15" customHeight="1" x14ac:dyDescent="0.35">
      <c r="C40" t="str">
        <f>IFERROR(INDEX('Utilization Data'!$B$5:$B$364,MATCH(39,'Utilization Data'!$AF$5:$AF$364,0)),"")</f>
        <v/>
      </c>
    </row>
    <row r="41" spans="3:3" ht="15" customHeight="1" x14ac:dyDescent="0.35">
      <c r="C41" t="str">
        <f>IFERROR(INDEX('Utilization Data'!$B$5:$B$364,MATCH(40,'Utilization Data'!$AF$5:$AF$364,0)),"")</f>
        <v/>
      </c>
    </row>
    <row r="42" spans="3:3" ht="15" customHeight="1" x14ac:dyDescent="0.35">
      <c r="C42" t="str">
        <f>IFERROR(INDEX('Utilization Data'!$B$5:$B$364,MATCH(41,'Utilization Data'!$AF$5:$AF$364,0)),"")</f>
        <v/>
      </c>
    </row>
    <row r="43" spans="3:3" ht="15" customHeight="1" x14ac:dyDescent="0.35">
      <c r="C43" t="str">
        <f>IFERROR(INDEX('Utilization Data'!$B$5:$B$364,MATCH(42,'Utilization Data'!$AF$5:$AF$364,0)),"")</f>
        <v/>
      </c>
    </row>
    <row r="44" spans="3:3" ht="15" customHeight="1" x14ac:dyDescent="0.35">
      <c r="C44" t="str">
        <f>IFERROR(INDEX('Utilization Data'!$B$5:$B$364,MATCH(43,'Utilization Data'!$AF$5:$AF$364,0)),"")</f>
        <v/>
      </c>
    </row>
    <row r="45" spans="3:3" ht="15" customHeight="1" x14ac:dyDescent="0.35">
      <c r="C45" t="str">
        <f>IFERROR(INDEX('Utilization Data'!$B$5:$B$364,MATCH(44,'Utilization Data'!$AF$5:$AF$364,0)),"")</f>
        <v/>
      </c>
    </row>
    <row r="46" spans="3:3" ht="15" customHeight="1" x14ac:dyDescent="0.35">
      <c r="C46" t="str">
        <f>IFERROR(INDEX('Utilization Data'!$B$5:$B$364,MATCH(45,'Utilization Data'!$AF$5:$AF$364,0)),"")</f>
        <v/>
      </c>
    </row>
    <row r="47" spans="3:3" ht="15" customHeight="1" x14ac:dyDescent="0.35">
      <c r="C47" t="str">
        <f>IFERROR(INDEX('Utilization Data'!$B$5:$B$364,MATCH(46,'Utilization Data'!$AF$5:$AF$364,0)),"")</f>
        <v/>
      </c>
    </row>
    <row r="48" spans="3:3" ht="15" customHeight="1" x14ac:dyDescent="0.35">
      <c r="C48" t="str">
        <f>IFERROR(INDEX('Utilization Data'!$B$5:$B$364,MATCH(47,'Utilization Data'!$AF$5:$AF$364,0)),"")</f>
        <v/>
      </c>
    </row>
    <row r="49" spans="3:3" ht="15" customHeight="1" x14ac:dyDescent="0.35">
      <c r="C49" t="str">
        <f>IFERROR(INDEX('Utilization Data'!$B$5:$B$364,MATCH(48,'Utilization Data'!$AF$5:$AF$364,0)),"")</f>
        <v/>
      </c>
    </row>
    <row r="50" spans="3:3" ht="15" customHeight="1" x14ac:dyDescent="0.35">
      <c r="C50" t="str">
        <f>IFERROR(INDEX('Utilization Data'!$B$5:$B$364,MATCH(49,'Utilization Data'!$AF$5:$AF$364,0)),"")</f>
        <v/>
      </c>
    </row>
    <row r="51" spans="3:3" ht="15" customHeight="1" x14ac:dyDescent="0.35">
      <c r="C51" t="str">
        <f>IFERROR(INDEX('Utilization Data'!$B$5:$B$364,MATCH(50,'Utilization Data'!$AF$5:$AF$364,0)),"")</f>
        <v/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Dashboard</vt:lpstr>
      <vt:lpstr>MIS Data</vt:lpstr>
      <vt:lpstr>Utilization Data</vt:lpstr>
      <vt:lpstr>ChartData</vt:lpstr>
      <vt:lpstr>Resource Client Utilization</vt:lpstr>
      <vt:lpstr>_Lists</vt:lpstr>
      <vt:lpstr>Dashboard!Print_Area</vt:lpstr>
      <vt:lpstr>'MIS Data'!Print_Area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Muralitharan.B</cp:lastModifiedBy>
  <cp:revision>11</cp:revision>
  <dcterms:created xsi:type="dcterms:W3CDTF">2026-07-27T06:23:12Z</dcterms:created>
  <dcterms:modified xsi:type="dcterms:W3CDTF">2026-09-01T08:42:57Z</dcterms:modified>
  <dc:language>en-US</dc:language>
</cp:coreProperties>
</file>
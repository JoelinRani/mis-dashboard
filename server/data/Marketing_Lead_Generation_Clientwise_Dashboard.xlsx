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arkisolutions-my.sharepoint.com/personal/murali_parkisolutions_com/Documents/Desktop/Dashboard/"/>
    </mc:Choice>
  </mc:AlternateContent>
  <xr:revisionPtr revIDLastSave="10" documentId="13_ncr:1_{8BD01F52-E51E-4DA1-8FB1-B91696DD7FFA}" xr6:coauthVersionLast="47" xr6:coauthVersionMax="47" xr10:uidLastSave="{12116DA4-B575-481C-8221-A193B1494B76}"/>
  <bookViews>
    <workbookView xWindow="-110" yWindow="-110" windowWidth="19420" windowHeight="11500" firstSheet="1" activeTab="2" xr2:uid="{771D9EEC-CFFA-4F33-8115-53A8C6CDE4A6}"/>
  </bookViews>
  <sheets>
    <sheet name="Drop Summary" sheetId="2" state="hidden" r:id="rId1"/>
    <sheet name="Dashboard" sheetId="3" r:id="rId2"/>
    <sheet name="MIS Data" sheetId="1" r:id="rId3"/>
  </sheets>
  <definedNames>
    <definedName name="_xlnm._FilterDatabase" localSheetId="2" hidden="1">'MIS Data'!$C$1:$M$33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6" i="1" l="1"/>
  <c r="L32" i="1"/>
  <c r="L34" i="1"/>
  <c r="L35" i="1"/>
  <c r="L37" i="1"/>
  <c r="L38" i="1"/>
  <c r="L26" i="1"/>
  <c r="L33" i="1"/>
  <c r="L28" i="1"/>
  <c r="L30" i="1"/>
  <c r="L29" i="1"/>
  <c r="L31" i="1"/>
  <c r="L25" i="1"/>
  <c r="L23" i="1"/>
  <c r="L24" i="1"/>
  <c r="L22" i="1"/>
  <c r="L21" i="1"/>
  <c r="H13" i="2"/>
  <c r="C31" i="2"/>
  <c r="L43" i="1" l="1"/>
</calcChain>
</file>

<file path=xl/sharedStrings.xml><?xml version="1.0" encoding="utf-8"?>
<sst xmlns="http://schemas.openxmlformats.org/spreadsheetml/2006/main" count="359" uniqueCount="99">
  <si>
    <t>Client</t>
  </si>
  <si>
    <t>Account Type</t>
  </si>
  <si>
    <t>County</t>
  </si>
  <si>
    <t>Champions</t>
  </si>
  <si>
    <t>Harris</t>
  </si>
  <si>
    <t>Collin</t>
  </si>
  <si>
    <t>Tarrant</t>
  </si>
  <si>
    <t>Travis</t>
  </si>
  <si>
    <t>Vanguard</t>
  </si>
  <si>
    <t>Dallas</t>
  </si>
  <si>
    <t>Agent Coded</t>
  </si>
  <si>
    <t>TTRG</t>
  </si>
  <si>
    <t>Davidson</t>
  </si>
  <si>
    <t>Non-Coded</t>
  </si>
  <si>
    <t>Total</t>
  </si>
  <si>
    <t>Preliminary Research</t>
  </si>
  <si>
    <t>Done</t>
  </si>
  <si>
    <t>Not Done</t>
  </si>
  <si>
    <t>Denton</t>
  </si>
  <si>
    <t>Buncombe</t>
  </si>
  <si>
    <t>Galveston</t>
  </si>
  <si>
    <t>Guilford</t>
  </si>
  <si>
    <t>Brazoria</t>
  </si>
  <si>
    <t>Harnett</t>
  </si>
  <si>
    <t>Durham</t>
  </si>
  <si>
    <t>Commercial</t>
  </si>
  <si>
    <t>State</t>
  </si>
  <si>
    <t>TX</t>
  </si>
  <si>
    <t>NC</t>
  </si>
  <si>
    <t>TN</t>
  </si>
  <si>
    <t>GA</t>
  </si>
  <si>
    <t>Wilson</t>
  </si>
  <si>
    <t>Knox</t>
  </si>
  <si>
    <t>Rutherford</t>
  </si>
  <si>
    <t>Sevier</t>
  </si>
  <si>
    <t>Gwinnett</t>
  </si>
  <si>
    <t>Forsyth</t>
  </si>
  <si>
    <t>Grand Total</t>
  </si>
  <si>
    <t>Sum of Accounts Dropped</t>
  </si>
  <si>
    <t>State/County</t>
  </si>
  <si>
    <t>Earlier Drops</t>
  </si>
  <si>
    <t>Leads Dropped</t>
  </si>
  <si>
    <t>AL</t>
  </si>
  <si>
    <t>Montgomery</t>
  </si>
  <si>
    <t>Property Type</t>
  </si>
  <si>
    <t>Residential</t>
  </si>
  <si>
    <t>Shelby</t>
  </si>
  <si>
    <t>DeKalb</t>
  </si>
  <si>
    <t>Cobb</t>
  </si>
  <si>
    <t>Fulton</t>
  </si>
  <si>
    <t>Cherokee</t>
  </si>
  <si>
    <t>Jefferson</t>
  </si>
  <si>
    <t>CA</t>
  </si>
  <si>
    <t>Los Angeles</t>
  </si>
  <si>
    <t>River Side</t>
  </si>
  <si>
    <t>San Bernandino</t>
  </si>
  <si>
    <t>Sacramento</t>
  </si>
  <si>
    <t>Date</t>
  </si>
  <si>
    <t>Leads Generated</t>
  </si>
  <si>
    <t>Resource Name</t>
  </si>
  <si>
    <t>Quality%</t>
  </si>
  <si>
    <t>EXECUTIVE DASHBOARD</t>
  </si>
  <si>
    <t>FILTERS:</t>
  </si>
  <si>
    <t>Month:</t>
  </si>
  <si>
    <t>January</t>
  </si>
  <si>
    <t>Client:</t>
  </si>
  <si>
    <t>Client-Wise Detail</t>
  </si>
  <si>
    <t>State:</t>
  </si>
  <si>
    <t>Property Type:</t>
  </si>
  <si>
    <t>Resource Utilization</t>
  </si>
  <si>
    <t>Hours Utilized</t>
  </si>
  <si>
    <t>Attempt Target/Day</t>
  </si>
  <si>
    <t>Actual Target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</si>
  <si>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</si>
  <si>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</si>
  <si>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</si>
  <si>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</si>
  <si>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</si>
  <si>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</si>
  <si>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</si>
  <si>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</si>
  <si>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</si>
  <si>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</si>
  <si>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</si>
  <si>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Parki Marketing</t>
  </si>
  <si>
    <t>GCC</t>
  </si>
  <si>
    <t>Yes</t>
  </si>
  <si>
    <t>No</t>
  </si>
  <si>
    <t>Texas</t>
  </si>
  <si>
    <t>California</t>
  </si>
  <si>
    <t>North Carolina</t>
  </si>
  <si>
    <t>Georgia</t>
  </si>
  <si>
    <t>Tennessee</t>
  </si>
  <si>
    <t>Alabama</t>
  </si>
  <si>
    <t>Lead Conversion%</t>
  </si>
  <si>
    <t>Total Attempt Target</t>
  </si>
  <si>
    <t>Total Records Attempted</t>
  </si>
  <si>
    <t>Lead Quality%</t>
  </si>
  <si>
    <t>Records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</si>
</sst>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sz val="11"/>
      <color rgb="FF000000"/>
      <name val="Calibri"/>
      <family val="2"/>
      <charset val="1"/>
    </font>
    <font>
      <b/>
      <sz val="10"/>
      <color rgb="FFB84A0F"/>
      <name val="Calibri"/>
      <family val="2"/>
    </font>
    <font>
      <b/>
      <sz val="24"/>
      <color rgb="FFB84A0F"/>
      <name val="Calibri"/>
      <family val="2"/>
    </font>
    <font>
      <b/>
      <sz val="24"/>
      <color rgb="FF3E8E5B"/>
      <name val="Calibri"/>
      <charset val="1"/>
    </font>
    <font>
      <b/>
      <sz val="24"/>
      <color rgb="FFC0392B"/>
      <name val="Calibri"/>
      <charset val="1"/>
    </font>
    <font>
      <sz val="8"/>
      <name val="Aptos Narrow"/>
      <family val="2"/>
      <scheme val="minor"/>
    </font>
    <font>
      <b/>
      <sz val="9.5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theme="1"/>
      <name val="Calibri"/>
      <family val="2"/>
    </font>
    <font>
      <b/>
      <i/>
      <sz val="10.5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rgb="FFC0392B"/>
      </patternFill>
    </fill>
    <fill>
      <patternFill patternType="solid">
        <fgColor theme="5" tint="0.39997558519241921"/>
        <bgColor rgb="FFF9F9F9"/>
      </patternFill>
    </fill>
    <fill>
      <patternFill patternType="solid">
        <fgColor theme="5" tint="0.39997558519241921"/>
        <bgColor rgb="FFFBD7CB"/>
      </patternFill>
    </fill>
    <fill>
      <patternFill patternType="solid">
        <fgColor theme="5" tint="0.59999389629810485"/>
        <bgColor rgb="FFF9F9F9"/>
      </patternFill>
    </fill>
    <fill>
      <patternFill patternType="solid">
        <fgColor theme="5" tint="0.59999389629810485"/>
        <bgColor rgb="FFC0392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8720C"/>
      </left>
      <right style="thin">
        <color rgb="FFE8720C"/>
      </right>
      <top style="thin">
        <color rgb="FFE8720C"/>
      </top>
      <bottom style="thin">
        <color rgb="FFE8720C"/>
      </bottom>
      <diagonal/>
    </border>
    <border>
      <left/>
      <right/>
      <top style="thin">
        <color rgb="FFF0923D"/>
      </top>
      <bottom/>
      <diagonal/>
    </border>
    <border>
      <left style="thin">
        <color rgb="FFF0923D"/>
      </left>
      <right/>
      <top/>
      <bottom/>
      <diagonal/>
    </border>
    <border>
      <left/>
      <right style="thin">
        <color rgb="FFF0923D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9" borderId="0" xfId="0" applyFont="1" applyFill="1" applyAlignment="1">
      <alignment horizontal="left" vertical="center" indent="1"/>
    </xf>
    <xf numFmtId="0" fontId="3" fillId="9" borderId="0" xfId="0" applyFont="1" applyFill="1"/>
    <xf numFmtId="0" fontId="3" fillId="9" borderId="0" xfId="0" applyFont="1" applyFill="1" applyAlignment="1">
      <alignment horizontal="left"/>
    </xf>
    <xf numFmtId="0" fontId="11" fillId="9" borderId="0" xfId="0" applyFont="1" applyFill="1" applyAlignment="1">
      <alignment horizontal="right" vertical="center"/>
    </xf>
    <xf numFmtId="0" fontId="12" fillId="9" borderId="0" xfId="0" applyFont="1" applyFill="1" applyAlignment="1">
      <alignment vertical="center"/>
    </xf>
    <xf numFmtId="0" fontId="3" fillId="6" borderId="0" xfId="0" applyFont="1" applyFill="1"/>
    <xf numFmtId="0" fontId="10" fillId="8" borderId="2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3" fillId="11" borderId="3" xfId="0" applyFont="1" applyFill="1" applyBorder="1"/>
    <xf numFmtId="0" fontId="9" fillId="8" borderId="4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10" fontId="6" fillId="10" borderId="4" xfId="0" applyNumberFormat="1" applyFont="1" applyFill="1" applyBorder="1" applyAlignment="1">
      <alignment horizontal="center" vertical="center"/>
    </xf>
    <xf numFmtId="10" fontId="6" fillId="10" borderId="0" xfId="0" applyNumberFormat="1" applyFont="1" applyFill="1" applyAlignment="1">
      <alignment horizontal="center" vertical="center"/>
    </xf>
    <xf numFmtId="10" fontId="6" fillId="10" borderId="5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10" fillId="10" borderId="4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46"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Bojarajan" refreshedDate="46168.831090509259" createdVersion="8" refreshedVersion="8" minRefreshableVersion="3" recordCount="32" xr:uid="{6286DC51-462D-44B5-8906-0A6906BEEFA8}">
  <cacheSource type="worksheet">
    <worksheetSource ref="C1:M33" sheet="MIS Data"/>
  </cacheSource>
  <cacheFields count="7">
    <cacheField name="Client" numFmtId="0">
      <sharedItems count="3">
        <s v="Champions"/>
        <s v="Vanguard"/>
        <s v="TTRG"/>
      </sharedItems>
    </cacheField>
    <cacheField name="County" numFmtId="0">
      <sharedItems count="21">
        <s v="Harris"/>
        <s v="Tarrant"/>
        <s v="Montgomery"/>
        <s v="Galveston"/>
        <s v="Collin"/>
        <s v="Travis"/>
        <s v="Brazoria"/>
        <s v="Dallas"/>
        <s v="Denton"/>
        <s v="Davidson"/>
        <s v="Buncombe"/>
        <s v="Guilford"/>
        <s v="Harnett"/>
        <s v="Durham"/>
        <s v="Forsyth"/>
        <s v="Shelby"/>
        <s v="Rutherford"/>
        <s v="Knox"/>
        <s v="Sevier"/>
        <s v="Wilson"/>
        <s v="Gwinnett"/>
      </sharedItems>
    </cacheField>
    <cacheField name="State" numFmtId="0">
      <sharedItems count="5">
        <s v="TX"/>
        <s v="NC"/>
        <s v="AL"/>
        <s v="TN"/>
        <s v="GA"/>
      </sharedItems>
    </cacheField>
    <cacheField name="Property Type" numFmtId="0">
      <sharedItems/>
    </cacheField>
    <cacheField name="Account Type" numFmtId="0">
      <sharedItems count="4">
        <s v="Agent Coded"/>
        <s v="Non-Coded"/>
        <s v="Residential Non-Coded" u="1"/>
        <s v="Commercial" u="1"/>
      </sharedItems>
    </cacheField>
    <cacheField name="Accounts Dropped" numFmtId="0">
      <sharedItems containsSemiMixedTypes="0" containsString="0" containsNumber="1" containsInteger="1" minValue="15" maxValue="1645"/>
    </cacheField>
    <cacheField name="Preliminary Researc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s v="Commercial"/>
    <x v="0"/>
    <n v="908"/>
    <s v="Done"/>
  </r>
  <r>
    <x v="0"/>
    <x v="0"/>
    <x v="0"/>
    <s v="Commercial"/>
    <x v="1"/>
    <n v="562"/>
    <s v="Done"/>
  </r>
  <r>
    <x v="0"/>
    <x v="1"/>
    <x v="0"/>
    <s v="Commercial"/>
    <x v="0"/>
    <n v="567"/>
    <s v="Done"/>
  </r>
  <r>
    <x v="0"/>
    <x v="1"/>
    <x v="0"/>
    <s v="Commercial"/>
    <x v="1"/>
    <n v="247"/>
    <s v="Done"/>
  </r>
  <r>
    <x v="0"/>
    <x v="2"/>
    <x v="0"/>
    <s v="Commercial"/>
    <x v="1"/>
    <n v="28"/>
    <s v="Done"/>
  </r>
  <r>
    <x v="0"/>
    <x v="3"/>
    <x v="0"/>
    <s v="Commercial"/>
    <x v="1"/>
    <n v="15"/>
    <s v="Done"/>
  </r>
  <r>
    <x v="0"/>
    <x v="3"/>
    <x v="0"/>
    <s v="Commercial"/>
    <x v="0"/>
    <n v="37"/>
    <s v="Done"/>
  </r>
  <r>
    <x v="0"/>
    <x v="4"/>
    <x v="0"/>
    <s v="Commercial"/>
    <x v="1"/>
    <n v="259"/>
    <s v="Done"/>
  </r>
  <r>
    <x v="0"/>
    <x v="4"/>
    <x v="0"/>
    <s v="Commercial"/>
    <x v="0"/>
    <n v="299"/>
    <s v="Done"/>
  </r>
  <r>
    <x v="0"/>
    <x v="5"/>
    <x v="0"/>
    <s v="Commercial"/>
    <x v="1"/>
    <n v="261"/>
    <s v="Done"/>
  </r>
  <r>
    <x v="0"/>
    <x v="5"/>
    <x v="0"/>
    <s v="Commercial"/>
    <x v="0"/>
    <n v="567"/>
    <s v="Done"/>
  </r>
  <r>
    <x v="0"/>
    <x v="6"/>
    <x v="0"/>
    <s v="Commercial"/>
    <x v="1"/>
    <n v="42"/>
    <s v="Done"/>
  </r>
  <r>
    <x v="0"/>
    <x v="6"/>
    <x v="0"/>
    <s v="Commercial"/>
    <x v="0"/>
    <n v="149"/>
    <s v="Done"/>
  </r>
  <r>
    <x v="1"/>
    <x v="7"/>
    <x v="0"/>
    <s v="Commercial"/>
    <x v="1"/>
    <n v="1645"/>
    <s v="Done"/>
  </r>
  <r>
    <x v="1"/>
    <x v="7"/>
    <x v="0"/>
    <s v="Commercial"/>
    <x v="0"/>
    <n v="481"/>
    <s v="Done"/>
  </r>
  <r>
    <x v="1"/>
    <x v="8"/>
    <x v="0"/>
    <s v="Commercial"/>
    <x v="1"/>
    <n v="280"/>
    <s v="Done"/>
  </r>
  <r>
    <x v="1"/>
    <x v="8"/>
    <x v="0"/>
    <s v="Commercial"/>
    <x v="0"/>
    <n v="293"/>
    <s v="Done"/>
  </r>
  <r>
    <x v="1"/>
    <x v="7"/>
    <x v="0"/>
    <s v="Residential"/>
    <x v="1"/>
    <n v="1293"/>
    <s v="Not Done"/>
  </r>
  <r>
    <x v="1"/>
    <x v="8"/>
    <x v="0"/>
    <s v="Residential"/>
    <x v="1"/>
    <n v="861"/>
    <s v="Not Done"/>
  </r>
  <r>
    <x v="2"/>
    <x v="9"/>
    <x v="1"/>
    <s v="Commercial"/>
    <x v="1"/>
    <n v="110"/>
    <s v="Not Done"/>
  </r>
  <r>
    <x v="2"/>
    <x v="10"/>
    <x v="1"/>
    <s v="Commercial"/>
    <x v="1"/>
    <n v="299"/>
    <s v="Not Done"/>
  </r>
  <r>
    <x v="2"/>
    <x v="11"/>
    <x v="1"/>
    <s v="Commercial"/>
    <x v="1"/>
    <n v="608"/>
    <s v="Not Done"/>
  </r>
  <r>
    <x v="2"/>
    <x v="12"/>
    <x v="1"/>
    <s v="Commercial"/>
    <x v="1"/>
    <n v="34"/>
    <s v="Not Done"/>
  </r>
  <r>
    <x v="2"/>
    <x v="13"/>
    <x v="1"/>
    <s v="Commercial"/>
    <x v="1"/>
    <n v="248"/>
    <s v="Not Done"/>
  </r>
  <r>
    <x v="2"/>
    <x v="14"/>
    <x v="1"/>
    <s v="Commercial"/>
    <x v="1"/>
    <n v="225"/>
    <s v="Not Done"/>
  </r>
  <r>
    <x v="2"/>
    <x v="15"/>
    <x v="2"/>
    <s v="Commercial"/>
    <x v="1"/>
    <n v="34"/>
    <s v="Not Done"/>
  </r>
  <r>
    <x v="2"/>
    <x v="16"/>
    <x v="3"/>
    <s v="Commercial"/>
    <x v="1"/>
    <n v="264"/>
    <s v="Not Done"/>
  </r>
  <r>
    <x v="2"/>
    <x v="17"/>
    <x v="3"/>
    <s v="Commercial"/>
    <x v="1"/>
    <n v="222"/>
    <s v="Not Done"/>
  </r>
  <r>
    <x v="2"/>
    <x v="18"/>
    <x v="3"/>
    <s v="Commercial"/>
    <x v="1"/>
    <n v="106"/>
    <s v="Not Done"/>
  </r>
  <r>
    <x v="2"/>
    <x v="19"/>
    <x v="3"/>
    <s v="Commercial"/>
    <x v="1"/>
    <n v="208"/>
    <s v="Not Done"/>
  </r>
  <r>
    <x v="2"/>
    <x v="20"/>
    <x v="4"/>
    <s v="Commercial"/>
    <x v="1"/>
    <n v="465"/>
    <s v="Not Done"/>
  </r>
  <r>
    <x v="2"/>
    <x v="14"/>
    <x v="4"/>
    <s v="Commercial"/>
    <x v="1"/>
    <n v="215"/>
    <s v="Not D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F7E17-A485-43CD-A64E-C1DD3C2F086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/County">
  <location ref="A1:B35" firstHeaderRow="1" firstDataRow="1" firstDataCol="1"/>
  <pivotFields count="7">
    <pivotField axis="axisRow" showAll="0">
      <items count="4">
        <item x="0"/>
        <item x="2"/>
        <item x="1"/>
        <item t="default"/>
      </items>
    </pivotField>
    <pivotField axis="axisRow" showAll="0">
      <items count="22">
        <item x="6"/>
        <item x="10"/>
        <item x="4"/>
        <item x="7"/>
        <item x="9"/>
        <item x="8"/>
        <item x="13"/>
        <item x="14"/>
        <item x="3"/>
        <item x="11"/>
        <item x="20"/>
        <item x="12"/>
        <item x="0"/>
        <item x="17"/>
        <item x="16"/>
        <item x="18"/>
        <item x="1"/>
        <item x="5"/>
        <item x="19"/>
        <item x="2"/>
        <item x="15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3">
    <field x="2"/>
    <field x="0"/>
    <field x="1"/>
  </rowFields>
  <rowItems count="34">
    <i>
      <x/>
    </i>
    <i r="1">
      <x v="1"/>
    </i>
    <i r="2">
      <x v="7"/>
    </i>
    <i r="2">
      <x v="10"/>
    </i>
    <i>
      <x v="1"/>
    </i>
    <i r="1">
      <x v="1"/>
    </i>
    <i r="2">
      <x v="1"/>
    </i>
    <i r="2">
      <x v="4"/>
    </i>
    <i r="2">
      <x v="6"/>
    </i>
    <i r="2">
      <x v="7"/>
    </i>
    <i r="2">
      <x v="9"/>
    </i>
    <i r="2">
      <x v="11"/>
    </i>
    <i>
      <x v="2"/>
    </i>
    <i r="1">
      <x v="1"/>
    </i>
    <i r="2">
      <x v="13"/>
    </i>
    <i r="2">
      <x v="14"/>
    </i>
    <i r="2">
      <x v="15"/>
    </i>
    <i r="2">
      <x v="18"/>
    </i>
    <i>
      <x v="3"/>
    </i>
    <i r="1">
      <x/>
    </i>
    <i r="2">
      <x/>
    </i>
    <i r="2">
      <x v="2"/>
    </i>
    <i r="2">
      <x v="8"/>
    </i>
    <i r="2">
      <x v="12"/>
    </i>
    <i r="2">
      <x v="16"/>
    </i>
    <i r="2">
      <x v="17"/>
    </i>
    <i r="2">
      <x v="19"/>
    </i>
    <i r="1">
      <x v="2"/>
    </i>
    <i r="2">
      <x v="3"/>
    </i>
    <i r="2">
      <x v="5"/>
    </i>
    <i>
      <x v="4"/>
    </i>
    <i r="1">
      <x v="1"/>
    </i>
    <i r="2">
      <x v="20"/>
    </i>
    <i t="grand">
      <x/>
    </i>
  </rowItems>
  <colItems count="1">
    <i/>
  </colItems>
  <dataFields count="1">
    <dataField name="Sum of Accounts Dropped" fld="5" baseField="0" baseItem="0"/>
  </dataFields>
  <formats count="46">
    <format dxfId="45">
      <pivotArea collapsedLevelsAreSubtotals="1" fieldPosition="0">
        <references count="1">
          <reference field="2" count="1">
            <x v="3"/>
          </reference>
        </references>
      </pivotArea>
    </format>
    <format dxfId="44">
      <pivotArea dataOnly="0" labelOnly="1" fieldPosition="0">
        <references count="1">
          <reference field="2" count="1">
            <x v="3"/>
          </reference>
        </references>
      </pivotArea>
    </format>
    <format dxfId="43">
      <pivotArea collapsedLevelsAreSubtotals="1" fieldPosition="0">
        <references count="1">
          <reference field="2" count="1">
            <x v="2"/>
          </reference>
        </references>
      </pivotArea>
    </format>
    <format dxfId="42">
      <pivotArea dataOnly="0" labelOnly="1" fieldPosition="0">
        <references count="1">
          <reference field="2" count="1">
            <x v="2"/>
          </reference>
        </references>
      </pivotArea>
    </format>
    <format dxfId="41">
      <pivotArea dataOnly="0" fieldPosition="0">
        <references count="1">
          <reference field="2" count="1">
            <x v="1"/>
          </reference>
        </references>
      </pivotArea>
    </format>
    <format dxfId="40">
      <pivotArea dataOnly="0" fieldPosition="0">
        <references count="1">
          <reference field="2" count="1">
            <x v="0"/>
          </reference>
        </references>
      </pivotArea>
    </format>
    <format dxfId="39">
      <pivotArea collapsedLevelsAreSubtotals="1" fieldPosition="0">
        <references count="1">
          <reference field="2" count="1">
            <x v="0"/>
          </reference>
        </references>
      </pivotArea>
    </format>
    <format dxfId="38">
      <pivotArea dataOnly="0" labelOnly="1" fieldPosition="0">
        <references count="1">
          <reference field="2" count="1">
            <x v="0"/>
          </reference>
        </references>
      </pivotArea>
    </format>
    <format dxfId="37">
      <pivotArea collapsedLevelsAreSubtotals="1" fieldPosition="0">
        <references count="1">
          <reference field="2" count="1">
            <x v="1"/>
          </reference>
        </references>
      </pivotArea>
    </format>
    <format dxfId="36">
      <pivotArea dataOnly="0" labelOnly="1" fieldPosition="0">
        <references count="1">
          <reference field="2" count="1">
            <x v="1"/>
          </reference>
        </references>
      </pivotArea>
    </format>
    <format dxfId="35">
      <pivotArea collapsedLevelsAreSubtotals="1" fieldPosition="0">
        <references count="1">
          <reference field="2" count="1">
            <x v="2"/>
          </reference>
        </references>
      </pivotArea>
    </format>
    <format dxfId="34">
      <pivotArea dataOnly="0" labelOnly="1" fieldPosition="0">
        <references count="1">
          <reference field="2" count="1">
            <x v="2"/>
          </reference>
        </references>
      </pivotArea>
    </format>
    <format dxfId="33">
      <pivotArea collapsedLevelsAreSubtotals="1" fieldPosition="0">
        <references count="1">
          <reference field="2" count="1">
            <x v="3"/>
          </reference>
        </references>
      </pivotArea>
    </format>
    <format dxfId="32">
      <pivotArea dataOnly="0" labelOnly="1" fieldPosition="0">
        <references count="1">
          <reference field="2" count="1">
            <x v="3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25">
      <pivotArea dataOnly="0" labelOnly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24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23">
      <pivotArea dataOnly="0" labelOnly="1" fieldPosition="0">
        <references count="2">
          <reference field="0" count="2">
            <x v="0"/>
            <x v="2"/>
          </reference>
          <reference field="2" count="1" selected="0">
            <x v="3"/>
          </reference>
        </references>
      </pivotArea>
    </format>
    <format dxfId="22">
      <pivotArea dataOnly="0" labelOnly="1" fieldPosition="0">
        <references count="3">
          <reference field="0" count="1" selected="0">
            <x v="1"/>
          </reference>
          <reference field="1" count="2">
            <x v="7"/>
            <x v="10"/>
          </reference>
          <reference field="2" count="1" selected="0">
            <x v="0"/>
          </reference>
        </references>
      </pivotArea>
    </format>
    <format dxfId="21">
      <pivotArea dataOnly="0" labelOnly="1" fieldPosition="0">
        <references count="3">
          <reference field="0" count="1" selected="0">
            <x v="1"/>
          </reference>
          <reference field="1" count="6">
            <x v="1"/>
            <x v="4"/>
            <x v="6"/>
            <x v="7"/>
            <x v="9"/>
            <x v="11"/>
          </reference>
          <reference field="2" count="1" selected="0">
            <x v="1"/>
          </reference>
        </references>
      </pivotArea>
    </format>
    <format dxfId="20">
      <pivotArea dataOnly="0" labelOnly="1" fieldPosition="0">
        <references count="3">
          <reference field="0" count="1" selected="0">
            <x v="1"/>
          </reference>
          <reference field="1" count="4">
            <x v="13"/>
            <x v="14"/>
            <x v="15"/>
            <x v="18"/>
          </reference>
          <reference field="2" count="1" selected="0">
            <x v="2"/>
          </reference>
        </references>
      </pivotArea>
    </format>
    <format dxfId="19">
      <pivotArea dataOnly="0" labelOnly="1" fieldPosition="0">
        <references count="3">
          <reference field="0" count="1" selected="0">
            <x v="0"/>
          </reference>
          <reference field="1" count="6">
            <x v="0"/>
            <x v="2"/>
            <x v="8"/>
            <x v="12"/>
            <x v="16"/>
            <x v="17"/>
          </reference>
          <reference field="2" count="1" selected="0">
            <x v="3"/>
          </reference>
        </references>
      </pivotArea>
    </format>
    <format dxfId="18">
      <pivotArea dataOnly="0" labelOnly="1" fieldPosition="0">
        <references count="3">
          <reference field="0" count="1" selected="0">
            <x v="2"/>
          </reference>
          <reference field="1" count="2">
            <x v="3"/>
            <x v="5"/>
          </reference>
          <reference field="2" count="1" selected="0">
            <x v="3"/>
          </reference>
        </references>
      </pivotArea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0">
      <pivotArea dataOnly="0" labelOnly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9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8">
      <pivotArea dataOnly="0" labelOnly="1" fieldPosition="0">
        <references count="2">
          <reference field="0" count="2">
            <x v="0"/>
            <x v="2"/>
          </reference>
          <reference field="2" count="1" selected="0">
            <x v="3"/>
          </reference>
        </references>
      </pivotArea>
    </format>
    <format dxfId="7">
      <pivotArea dataOnly="0" labelOnly="1" fieldPosition="0">
        <references count="3">
          <reference field="0" count="1" selected="0">
            <x v="1"/>
          </reference>
          <reference field="1" count="2">
            <x v="7"/>
            <x v="10"/>
          </reference>
          <reference field="2" count="1" selected="0">
            <x v="0"/>
          </reference>
        </references>
      </pivotArea>
    </format>
    <format dxfId="6">
      <pivotArea dataOnly="0" labelOnly="1" fieldPosition="0">
        <references count="3">
          <reference field="0" count="1" selected="0">
            <x v="1"/>
          </reference>
          <reference field="1" count="6">
            <x v="1"/>
            <x v="4"/>
            <x v="6"/>
            <x v="7"/>
            <x v="9"/>
            <x v="11"/>
          </reference>
          <reference field="2" count="1" selected="0">
            <x v="1"/>
          </reference>
        </references>
      </pivotArea>
    </format>
    <format dxfId="5">
      <pivotArea dataOnly="0" labelOnly="1" fieldPosition="0">
        <references count="3">
          <reference field="0" count="1" selected="0">
            <x v="1"/>
          </reference>
          <reference field="1" count="4">
            <x v="13"/>
            <x v="14"/>
            <x v="15"/>
            <x v="18"/>
          </reference>
          <reference field="2" count="1" selected="0">
            <x v="2"/>
          </reference>
        </references>
      </pivotArea>
    </format>
    <format dxfId="4">
      <pivotArea dataOnly="0" labelOnly="1" fieldPosition="0">
        <references count="3">
          <reference field="0" count="1" selected="0">
            <x v="0"/>
          </reference>
          <reference field="1" count="6">
            <x v="0"/>
            <x v="2"/>
            <x v="8"/>
            <x v="12"/>
            <x v="16"/>
            <x v="17"/>
          </reference>
          <reference field="2" count="1" selected="0">
            <x v="3"/>
          </reference>
        </references>
      </pivotArea>
    </format>
    <format dxfId="3">
      <pivotArea dataOnly="0" labelOnly="1" fieldPosition="0">
        <references count="3">
          <reference field="0" count="1" selected="0">
            <x v="2"/>
          </reference>
          <reference field="1" count="2">
            <x v="3"/>
            <x v="5"/>
          </reference>
          <reference field="2" count="1" selected="0">
            <x v="3"/>
          </reference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BB5B-42AC-4E58-BE79-87791EE839CA}">
  <dimension ref="A1:H35"/>
  <sheetViews>
    <sheetView showGridLines="0" topLeftCell="A7" zoomScale="120" zoomScaleNormal="120" workbookViewId="0">
      <selection activeCell="B20" sqref="B20"/>
    </sheetView>
  </sheetViews>
  <sheetFormatPr defaultRowHeight="14.5" x14ac:dyDescent="0.35"/>
  <cols>
    <col min="1" max="1" width="16.36328125" bestFit="1" customWidth="1"/>
    <col min="2" max="2" width="23.08984375" style="1" bestFit="1" customWidth="1"/>
    <col min="3" max="3" width="11.6328125" style="1" bestFit="1" customWidth="1"/>
    <col min="6" max="6" width="11.453125" customWidth="1"/>
    <col min="7" max="7" width="7.90625" style="1" customWidth="1"/>
    <col min="8" max="8" width="17.36328125" style="1" customWidth="1"/>
  </cols>
  <sheetData>
    <row r="1" spans="1:8" x14ac:dyDescent="0.35">
      <c r="A1" s="7" t="s">
        <v>39</v>
      </c>
      <c r="B1" s="2" t="s">
        <v>38</v>
      </c>
      <c r="C1" s="10" t="s">
        <v>40</v>
      </c>
    </row>
    <row r="2" spans="1:8" x14ac:dyDescent="0.35">
      <c r="A2" s="6" t="s">
        <v>30</v>
      </c>
      <c r="B2" s="12">
        <v>680</v>
      </c>
      <c r="C2" s="2"/>
    </row>
    <row r="3" spans="1:8" x14ac:dyDescent="0.35">
      <c r="A3" s="8" t="s">
        <v>11</v>
      </c>
      <c r="B3" s="2">
        <v>680</v>
      </c>
      <c r="C3" s="2"/>
    </row>
    <row r="4" spans="1:8" x14ac:dyDescent="0.35">
      <c r="A4" s="9" t="s">
        <v>36</v>
      </c>
      <c r="B4" s="2">
        <v>215</v>
      </c>
      <c r="C4" s="2"/>
    </row>
    <row r="5" spans="1:8" x14ac:dyDescent="0.35">
      <c r="A5" s="9" t="s">
        <v>35</v>
      </c>
      <c r="B5" s="2">
        <v>465</v>
      </c>
      <c r="C5" s="2"/>
    </row>
    <row r="6" spans="1:8" x14ac:dyDescent="0.35">
      <c r="A6" s="6" t="s">
        <v>28</v>
      </c>
      <c r="B6" s="12">
        <v>1524</v>
      </c>
      <c r="C6" s="2"/>
      <c r="F6" s="11" t="s">
        <v>0</v>
      </c>
      <c r="G6" s="11" t="s">
        <v>26</v>
      </c>
      <c r="H6" s="11" t="s">
        <v>41</v>
      </c>
    </row>
    <row r="7" spans="1:8" x14ac:dyDescent="0.35">
      <c r="A7" s="8" t="s">
        <v>11</v>
      </c>
      <c r="B7" s="2">
        <v>1524</v>
      </c>
      <c r="C7" s="2"/>
      <c r="F7" s="2" t="s">
        <v>8</v>
      </c>
      <c r="G7" s="2" t="s">
        <v>27</v>
      </c>
      <c r="H7" s="2">
        <v>5010</v>
      </c>
    </row>
    <row r="8" spans="1:8" x14ac:dyDescent="0.35">
      <c r="A8" s="9" t="s">
        <v>19</v>
      </c>
      <c r="B8" s="2">
        <v>299</v>
      </c>
      <c r="C8" s="2">
        <v>99</v>
      </c>
      <c r="F8" s="2" t="s">
        <v>3</v>
      </c>
      <c r="G8" s="2" t="s">
        <v>27</v>
      </c>
      <c r="H8" s="2">
        <v>3664</v>
      </c>
    </row>
    <row r="9" spans="1:8" x14ac:dyDescent="0.35">
      <c r="A9" s="9" t="s">
        <v>12</v>
      </c>
      <c r="B9" s="2">
        <v>110</v>
      </c>
      <c r="C9" s="2">
        <v>125</v>
      </c>
      <c r="F9" s="2" t="s">
        <v>11</v>
      </c>
      <c r="G9" s="2" t="s">
        <v>28</v>
      </c>
      <c r="H9" s="2">
        <v>1603</v>
      </c>
    </row>
    <row r="10" spans="1:8" x14ac:dyDescent="0.35">
      <c r="A10" s="9" t="s">
        <v>24</v>
      </c>
      <c r="B10" s="2">
        <v>248</v>
      </c>
      <c r="C10" s="2"/>
      <c r="F10" s="2" t="s">
        <v>11</v>
      </c>
      <c r="G10" s="2" t="s">
        <v>29</v>
      </c>
      <c r="H10" s="2">
        <v>803</v>
      </c>
    </row>
    <row r="11" spans="1:8" x14ac:dyDescent="0.35">
      <c r="A11" s="9" t="s">
        <v>36</v>
      </c>
      <c r="B11" s="2">
        <v>225</v>
      </c>
      <c r="C11" s="2"/>
      <c r="F11" s="2" t="s">
        <v>11</v>
      </c>
      <c r="G11" s="2" t="s">
        <v>30</v>
      </c>
      <c r="H11" s="2">
        <v>556</v>
      </c>
    </row>
    <row r="12" spans="1:8" x14ac:dyDescent="0.35">
      <c r="A12" s="9" t="s">
        <v>21</v>
      </c>
      <c r="B12" s="2">
        <v>608</v>
      </c>
      <c r="C12" s="2">
        <v>136</v>
      </c>
      <c r="F12" s="2" t="s">
        <v>11</v>
      </c>
      <c r="G12" s="2" t="s">
        <v>42</v>
      </c>
      <c r="H12" s="2">
        <v>36</v>
      </c>
    </row>
    <row r="13" spans="1:8" x14ac:dyDescent="0.35">
      <c r="A13" s="9" t="s">
        <v>23</v>
      </c>
      <c r="B13" s="2">
        <v>34</v>
      </c>
      <c r="C13" s="2"/>
      <c r="G13" s="11" t="s">
        <v>14</v>
      </c>
      <c r="H13" s="11">
        <f>SUM(H7:H12)</f>
        <v>11672</v>
      </c>
    </row>
    <row r="14" spans="1:8" x14ac:dyDescent="0.35">
      <c r="A14" s="6" t="s">
        <v>29</v>
      </c>
      <c r="B14" s="12">
        <v>800</v>
      </c>
      <c r="C14" s="2"/>
    </row>
    <row r="15" spans="1:8" x14ac:dyDescent="0.35">
      <c r="A15" s="8" t="s">
        <v>11</v>
      </c>
      <c r="B15" s="2">
        <v>800</v>
      </c>
      <c r="C15" s="2"/>
    </row>
    <row r="16" spans="1:8" x14ac:dyDescent="0.35">
      <c r="A16" s="9" t="s">
        <v>32</v>
      </c>
      <c r="B16" s="2">
        <v>222</v>
      </c>
      <c r="C16" s="2"/>
    </row>
    <row r="17" spans="1:3" x14ac:dyDescent="0.35">
      <c r="A17" s="9" t="s">
        <v>33</v>
      </c>
      <c r="B17" s="2">
        <v>264</v>
      </c>
      <c r="C17" s="2"/>
    </row>
    <row r="18" spans="1:3" x14ac:dyDescent="0.35">
      <c r="A18" s="9" t="s">
        <v>34</v>
      </c>
      <c r="B18" s="2">
        <v>106</v>
      </c>
      <c r="C18" s="2"/>
    </row>
    <row r="19" spans="1:3" x14ac:dyDescent="0.35">
      <c r="A19" s="9" t="s">
        <v>31</v>
      </c>
      <c r="B19" s="2">
        <v>208</v>
      </c>
      <c r="C19" s="2"/>
    </row>
    <row r="20" spans="1:3" x14ac:dyDescent="0.35">
      <c r="A20" s="6" t="s">
        <v>27</v>
      </c>
      <c r="B20" s="12">
        <v>8794</v>
      </c>
      <c r="C20" s="2"/>
    </row>
    <row r="21" spans="1:3" x14ac:dyDescent="0.35">
      <c r="A21" s="8" t="s">
        <v>3</v>
      </c>
      <c r="B21" s="2">
        <v>3941</v>
      </c>
      <c r="C21" s="2"/>
    </row>
    <row r="22" spans="1:3" x14ac:dyDescent="0.35">
      <c r="A22" s="9" t="s">
        <v>22</v>
      </c>
      <c r="B22" s="2">
        <v>191</v>
      </c>
      <c r="C22" s="2">
        <v>47</v>
      </c>
    </row>
    <row r="23" spans="1:3" x14ac:dyDescent="0.35">
      <c r="A23" s="9" t="s">
        <v>5</v>
      </c>
      <c r="B23" s="2">
        <v>558</v>
      </c>
      <c r="C23" s="2">
        <v>259</v>
      </c>
    </row>
    <row r="24" spans="1:3" x14ac:dyDescent="0.35">
      <c r="A24" s="9" t="s">
        <v>20</v>
      </c>
      <c r="B24" s="2">
        <v>52</v>
      </c>
      <c r="C24" s="2">
        <v>15</v>
      </c>
    </row>
    <row r="25" spans="1:3" x14ac:dyDescent="0.35">
      <c r="A25" s="9" t="s">
        <v>4</v>
      </c>
      <c r="B25" s="2">
        <v>1470</v>
      </c>
      <c r="C25" s="2">
        <v>562</v>
      </c>
    </row>
    <row r="26" spans="1:3" x14ac:dyDescent="0.35">
      <c r="A26" s="9" t="s">
        <v>6</v>
      </c>
      <c r="B26" s="2">
        <v>814</v>
      </c>
      <c r="C26" s="2">
        <v>280</v>
      </c>
    </row>
    <row r="27" spans="1:3" x14ac:dyDescent="0.35">
      <c r="A27" s="9" t="s">
        <v>7</v>
      </c>
      <c r="B27" s="2">
        <v>828</v>
      </c>
      <c r="C27" s="2">
        <v>261</v>
      </c>
    </row>
    <row r="28" spans="1:3" x14ac:dyDescent="0.35">
      <c r="A28" s="9" t="s">
        <v>43</v>
      </c>
      <c r="B28" s="2">
        <v>28</v>
      </c>
      <c r="C28" s="2"/>
    </row>
    <row r="29" spans="1:3" x14ac:dyDescent="0.35">
      <c r="A29" s="8" t="s">
        <v>8</v>
      </c>
      <c r="B29" s="2">
        <v>4853</v>
      </c>
      <c r="C29" s="2">
        <v>1645</v>
      </c>
    </row>
    <row r="30" spans="1:3" x14ac:dyDescent="0.35">
      <c r="A30" s="9" t="s">
        <v>9</v>
      </c>
      <c r="B30" s="2">
        <v>3419</v>
      </c>
      <c r="C30" s="2">
        <v>303</v>
      </c>
    </row>
    <row r="31" spans="1:3" x14ac:dyDescent="0.35">
      <c r="A31" s="9" t="s">
        <v>18</v>
      </c>
      <c r="B31" s="2">
        <v>1434</v>
      </c>
      <c r="C31" s="10">
        <f>SUM(C2:C30)</f>
        <v>3732</v>
      </c>
    </row>
    <row r="32" spans="1:3" x14ac:dyDescent="0.35">
      <c r="A32" s="5" t="s">
        <v>42</v>
      </c>
      <c r="B32" s="2">
        <v>34</v>
      </c>
    </row>
    <row r="33" spans="1:2" x14ac:dyDescent="0.35">
      <c r="A33" s="8" t="s">
        <v>11</v>
      </c>
      <c r="B33" s="2">
        <v>34</v>
      </c>
    </row>
    <row r="34" spans="1:2" x14ac:dyDescent="0.35">
      <c r="A34" s="9" t="s">
        <v>46</v>
      </c>
      <c r="B34" s="2">
        <v>34</v>
      </c>
    </row>
    <row r="35" spans="1:2" x14ac:dyDescent="0.35">
      <c r="A35" s="5" t="s">
        <v>37</v>
      </c>
      <c r="B35" s="2">
        <v>11832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D9E5-7189-4464-8A74-92E36EA43413}">
  <dimension ref="A1:AG15"/>
  <sheetViews>
    <sheetView showGridLines="0" topLeftCell="A2" zoomScaleNormal="100" workbookViewId="0">
      <pane ySplit="1" topLeftCell="A3" activePane="bottomLeft" state="frozen"/>
      <selection activeCell="A2" sqref="A2"/>
      <selection pane="bottomLeft" activeCell="I9" sqref="I9:L10"/>
    </sheetView>
  </sheetViews>
  <sheetFormatPr defaultRowHeight="14.5" x14ac:dyDescent="0.35"/>
  <cols>
    <col min="1" max="1" width="9.6328125" bestFit="1" customWidth="1"/>
    <col min="2" max="2" width="12.453125" customWidth="1"/>
    <col min="3" max="3" width="15.54296875" bestFit="1" customWidth="1"/>
    <col min="4" max="4" width="13.36328125" bestFit="1" customWidth="1"/>
    <col min="5" max="5" width="10.54296875" bestFit="1" customWidth="1"/>
    <col min="6" max="6" width="13.1796875" bestFit="1" customWidth="1"/>
    <col min="31" max="31" width="10.90625" bestFit="1" customWidth="1"/>
  </cols>
  <sheetData>
    <row r="1" spans="1:33" hidden="1" x14ac:dyDescent="0.35"/>
    <row r="2" spans="1:33" ht="26" x14ac:dyDescent="0.35">
      <c r="A2" s="23" t="s">
        <v>61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33" x14ac:dyDescent="0.35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AC3" t="s">
        <v>64</v>
      </c>
      <c r="AD3" t="s">
        <v>11</v>
      </c>
      <c r="AE3" t="s">
        <v>45</v>
      </c>
      <c r="AF3" t="s">
        <v>86</v>
      </c>
      <c r="AG3" t="s">
        <v>88</v>
      </c>
    </row>
    <row r="4" spans="1:33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AC4" t="s">
        <v>73</v>
      </c>
      <c r="AD4" t="s">
        <v>3</v>
      </c>
      <c r="AE4" t="s">
        <v>25</v>
      </c>
      <c r="AF4" t="s">
        <v>87</v>
      </c>
      <c r="AG4" t="s">
        <v>89</v>
      </c>
    </row>
    <row r="5" spans="1:33" x14ac:dyDescent="0.35">
      <c r="A5" s="22" t="s">
        <v>62</v>
      </c>
      <c r="B5" s="18" t="s">
        <v>63</v>
      </c>
      <c r="C5" s="21" t="s">
        <v>73</v>
      </c>
      <c r="D5" s="16"/>
      <c r="E5" s="18" t="s">
        <v>65</v>
      </c>
      <c r="F5" s="21" t="s">
        <v>84</v>
      </c>
      <c r="G5" s="16"/>
      <c r="H5" s="18" t="s">
        <v>67</v>
      </c>
      <c r="I5" s="21" t="s">
        <v>93</v>
      </c>
      <c r="J5" s="19"/>
      <c r="K5" s="18" t="s">
        <v>68</v>
      </c>
      <c r="L5" s="21"/>
      <c r="AC5" t="s">
        <v>74</v>
      </c>
      <c r="AD5" t="s">
        <v>8</v>
      </c>
      <c r="AG5" t="s">
        <v>90</v>
      </c>
    </row>
    <row r="6" spans="1:33" x14ac:dyDescent="0.35">
      <c r="A6" s="15"/>
      <c r="B6" s="18" t="s">
        <v>10</v>
      </c>
      <c r="C6" s="21" t="s">
        <v>86</v>
      </c>
      <c r="D6" s="16"/>
      <c r="E6" s="17"/>
      <c r="F6" s="16"/>
      <c r="G6" s="16"/>
      <c r="H6" s="16"/>
      <c r="I6" s="16"/>
      <c r="J6" s="16"/>
      <c r="K6" s="16"/>
      <c r="L6" s="16"/>
      <c r="AC6" t="s">
        <v>75</v>
      </c>
      <c r="AD6" t="s">
        <v>84</v>
      </c>
      <c r="AG6" t="s">
        <v>91</v>
      </c>
    </row>
    <row r="7" spans="1:33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AC7" t="s">
        <v>76</v>
      </c>
      <c r="AD7" t="s">
        <v>85</v>
      </c>
      <c r="AG7" t="s">
        <v>92</v>
      </c>
    </row>
    <row r="8" spans="1:33" x14ac:dyDescent="0.35">
      <c r="A8" s="26" t="s">
        <v>95</v>
      </c>
      <c r="B8" s="27"/>
      <c r="C8" s="27"/>
      <c r="D8" s="28"/>
      <c r="E8" s="26" t="s">
        <v>96</v>
      </c>
      <c r="F8" s="27"/>
      <c r="G8" s="27"/>
      <c r="H8" s="28"/>
      <c r="I8" s="26" t="s">
        <v>58</v>
      </c>
      <c r="J8" s="27"/>
      <c r="K8" s="27"/>
      <c r="L8" s="28"/>
      <c r="AC8" t="s">
        <v>77</v>
      </c>
      <c r="AG8" t="s">
        <v>93</v>
      </c>
    </row>
    <row r="9" spans="1:33" x14ac:dyDescent="0.35">
      <c r="A9" s="29"/>
      <c r="B9" s="30"/>
      <c r="C9" s="30"/>
      <c r="D9" s="31"/>
      <c r="E9" s="29"/>
      <c r="F9" s="30"/>
      <c r="G9" s="30"/>
      <c r="H9" s="31"/>
      <c r="I9" s="32"/>
      <c r="J9" s="33"/>
      <c r="K9" s="33"/>
      <c r="L9" s="34"/>
      <c r="AC9" t="s">
        <v>78</v>
      </c>
    </row>
    <row r="10" spans="1:33" x14ac:dyDescent="0.35">
      <c r="A10" s="29"/>
      <c r="B10" s="30"/>
      <c r="C10" s="30"/>
      <c r="D10" s="31"/>
      <c r="E10" s="29"/>
      <c r="F10" s="30"/>
      <c r="G10" s="30"/>
      <c r="H10" s="31"/>
      <c r="I10" s="32"/>
      <c r="J10" s="33"/>
      <c r="K10" s="33"/>
      <c r="L10" s="34"/>
      <c r="AC10" t="s">
        <v>79</v>
      </c>
    </row>
    <row r="11" spans="1:33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AC11" t="s">
        <v>80</v>
      </c>
    </row>
    <row r="12" spans="1:33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AC12" t="s">
        <v>81</v>
      </c>
    </row>
    <row r="13" spans="1:33" x14ac:dyDescent="0.35">
      <c r="A13" s="39" t="s">
        <v>94</v>
      </c>
      <c r="B13" s="40"/>
      <c r="C13" s="40"/>
      <c r="D13" s="41"/>
      <c r="E13" s="39" t="s">
        <v>97</v>
      </c>
      <c r="F13" s="40"/>
      <c r="G13" s="40"/>
      <c r="H13" s="41"/>
      <c r="I13" s="39" t="s">
        <v>69</v>
      </c>
      <c r="J13" s="40"/>
      <c r="K13" s="40"/>
      <c r="L13" s="41"/>
      <c r="AC13" t="s">
        <v>82</v>
      </c>
    </row>
    <row r="14" spans="1:33" x14ac:dyDescent="0.35">
      <c r="A14" s="32"/>
      <c r="B14" s="33"/>
      <c r="C14" s="33"/>
      <c r="D14" s="34"/>
      <c r="E14" s="29"/>
      <c r="F14" s="30"/>
      <c r="G14" s="30"/>
      <c r="H14" s="31"/>
      <c r="I14" s="35"/>
      <c r="J14" s="36"/>
      <c r="K14" s="36"/>
      <c r="L14" s="37"/>
      <c r="AC14" t="s">
        <v>83</v>
      </c>
    </row>
    <row r="15" spans="1:33" x14ac:dyDescent="0.35">
      <c r="A15" s="32"/>
      <c r="B15" s="33"/>
      <c r="C15" s="33"/>
      <c r="D15" s="34"/>
      <c r="E15" s="29"/>
      <c r="F15" s="30"/>
      <c r="G15" s="30"/>
      <c r="H15" s="31"/>
      <c r="I15" s="35"/>
      <c r="J15" s="36"/>
      <c r="K15" s="36"/>
      <c r="L15" s="37"/>
    </row>
  </sheetData>
  <dataConsolidate/>
  <mergeCells count="20">
    <mergeCell ref="A14:D15"/>
    <mergeCell ref="E14:H15"/>
    <mergeCell ref="I14:L15"/>
    <mergeCell ref="A12:D12"/>
    <mergeCell ref="E12:H12"/>
    <mergeCell ref="I12:L12"/>
    <mergeCell ref="A13:D13"/>
    <mergeCell ref="E13:H13"/>
    <mergeCell ref="I13:L13"/>
    <mergeCell ref="A8:D8"/>
    <mergeCell ref="E8:H8"/>
    <mergeCell ref="I8:L8"/>
    <mergeCell ref="A9:D10"/>
    <mergeCell ref="E9:H10"/>
    <mergeCell ref="I9:L10"/>
    <mergeCell ref="A2:L2"/>
    <mergeCell ref="A3:L3"/>
    <mergeCell ref="A7:D7"/>
    <mergeCell ref="E7:H7"/>
    <mergeCell ref="I7:L7"/>
  </mergeCells>
  <phoneticPr fontId="8" type="noConversion"/>
  <dataValidations count="5">
    <dataValidation type="list" allowBlank="1" showInputMessage="1" showErrorMessage="1" sqref="C5" xr:uid="{E9A25AC6-9688-4C53-9809-DAF43044EEAD}">
      <formula1>$AC$3:$AC$14</formula1>
    </dataValidation>
    <dataValidation type="list" allowBlank="1" showInputMessage="1" showErrorMessage="1" sqref="F5" xr:uid="{1EF10A35-58C4-4ED0-B8C1-D90764E50569}">
      <formula1>$AD$3:$AD$7</formula1>
    </dataValidation>
    <dataValidation type="list" allowBlank="1" showInputMessage="1" showErrorMessage="1" sqref="I5" xr:uid="{9A4A5869-18E4-4E7A-9E2A-38182A5CDF02}">
      <formula1>$AG$3:$AG$8</formula1>
    </dataValidation>
    <dataValidation type="list" allowBlank="1" showInputMessage="1" showErrorMessage="1" sqref="L5" xr:uid="{69F193AB-516C-4E4C-A40E-3C08B797A4B0}">
      <formula1>$AE$3:$AE$4</formula1>
    </dataValidation>
    <dataValidation type="list" allowBlank="1" showInputMessage="1" showErrorMessage="1" sqref="C6" xr:uid="{677F3343-4769-4CF1-942A-5DF5FE48E828}">
      <formula1>$AF$3:$AF$4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C135-6553-4078-BD4F-ED2D130A153B}">
  <dimension ref="A1:N43"/>
  <sheetViews>
    <sheetView showGridLines="0" tabSelected="1" topLeftCell="E1" zoomScale="145" zoomScaleNormal="145" workbookViewId="0">
      <pane ySplit="1" topLeftCell="A35" activePane="bottomLeft" state="frozen"/>
      <selection pane="bottomLeft" activeCell="H11" sqref="H11"/>
    </sheetView>
  </sheetViews>
  <sheetFormatPr defaultRowHeight="14.5" x14ac:dyDescent="0.35"/>
  <cols>
    <col min="1" max="1" width="4.90625" bestFit="1" customWidth="1"/>
    <col min="2" max="2" width="14.453125" bestFit="1" customWidth="1"/>
    <col min="3" max="3" width="10.453125" style="1" bestFit="1" customWidth="1"/>
    <col min="4" max="4" width="15" style="1" customWidth="1"/>
    <col min="5" max="5" width="5.453125" style="1" bestFit="1" customWidth="1"/>
    <col min="6" max="6" width="12.54296875" style="1" bestFit="1" customWidth="1"/>
    <col min="7" max="7" width="12.36328125" style="1" bestFit="1" customWidth="1"/>
    <col min="8" max="8" width="17.6328125" style="1" bestFit="1" customWidth="1"/>
    <col min="9" max="9" width="13.54296875" style="1" customWidth="1"/>
    <col min="10" max="10" width="13.54296875" style="1" bestFit="1" customWidth="1"/>
    <col min="11" max="11" width="18.54296875" style="1" bestFit="1" customWidth="1"/>
    <col min="12" max="12" width="16.36328125" bestFit="1" customWidth="1"/>
    <col min="13" max="13" width="19.36328125" style="1" bestFit="1" customWidth="1"/>
  </cols>
  <sheetData>
    <row r="1" spans="1:14" x14ac:dyDescent="0.35">
      <c r="A1" s="3" t="s">
        <v>57</v>
      </c>
      <c r="B1" s="3" t="s">
        <v>59</v>
      </c>
      <c r="C1" s="3" t="s">
        <v>0</v>
      </c>
      <c r="D1" s="3" t="s">
        <v>2</v>
      </c>
      <c r="E1" s="3" t="s">
        <v>26</v>
      </c>
      <c r="F1" s="3" t="s">
        <v>44</v>
      </c>
      <c r="G1" s="3" t="s">
        <v>1</v>
      </c>
      <c r="H1" s="3" t="s">
        <v>71</v>
      </c>
      <c r="I1" s="3" t="s">
        <v>70</v>
      </c>
      <c r="J1" s="3" t="s">
        <v>72</v>
      </c>
      <c r="K1" s="3" t="s">
        <v>98</v>
      </c>
      <c r="L1" s="3" t="s">
        <v>58</v>
      </c>
      <c r="M1" s="3" t="s">
        <v>15</v>
      </c>
      <c r="N1" s="3" t="s">
        <v>60</v>
      </c>
    </row>
    <row r="2" spans="1:14" x14ac:dyDescent="0.35">
      <c r="A2" s="13"/>
      <c r="B2" s="13"/>
      <c r="C2" s="2" t="s">
        <v>3</v>
      </c>
      <c r="D2" s="2" t="s">
        <v>4</v>
      </c>
      <c r="E2" s="2" t="s">
        <v>27</v>
      </c>
      <c r="F2" s="2" t="s">
        <v>25</v>
      </c>
      <c r="G2" s="2" t="s">
        <v>10</v>
      </c>
      <c r="H2" s="2"/>
      <c r="I2" s="2"/>
      <c r="J2" s="2"/>
      <c r="K2" s="2"/>
      <c r="L2" s="2">
        <v>908</v>
      </c>
      <c r="M2" s="2" t="s">
        <v>16</v>
      </c>
      <c r="N2" s="13"/>
    </row>
    <row r="3" spans="1:14" x14ac:dyDescent="0.35">
      <c r="A3" s="13"/>
      <c r="B3" s="13"/>
      <c r="C3" s="2" t="s">
        <v>3</v>
      </c>
      <c r="D3" s="2" t="s">
        <v>4</v>
      </c>
      <c r="E3" s="2" t="s">
        <v>27</v>
      </c>
      <c r="F3" s="2" t="s">
        <v>25</v>
      </c>
      <c r="G3" s="2" t="s">
        <v>13</v>
      </c>
      <c r="H3" s="2"/>
      <c r="I3" s="2"/>
      <c r="J3" s="2"/>
      <c r="K3" s="2"/>
      <c r="L3" s="2">
        <v>562</v>
      </c>
      <c r="M3" s="2" t="s">
        <v>16</v>
      </c>
      <c r="N3" s="13"/>
    </row>
    <row r="4" spans="1:14" x14ac:dyDescent="0.35">
      <c r="A4" s="13"/>
      <c r="B4" s="13"/>
      <c r="C4" s="2" t="s">
        <v>3</v>
      </c>
      <c r="D4" s="2" t="s">
        <v>6</v>
      </c>
      <c r="E4" s="2" t="s">
        <v>27</v>
      </c>
      <c r="F4" s="2" t="s">
        <v>25</v>
      </c>
      <c r="G4" s="2" t="s">
        <v>10</v>
      </c>
      <c r="H4" s="2"/>
      <c r="I4" s="2"/>
      <c r="J4" s="2"/>
      <c r="K4" s="2"/>
      <c r="L4" s="2">
        <v>567</v>
      </c>
      <c r="M4" s="2" t="s">
        <v>16</v>
      </c>
      <c r="N4" s="13"/>
    </row>
    <row r="5" spans="1:14" x14ac:dyDescent="0.35">
      <c r="A5" s="13"/>
      <c r="B5" s="13"/>
      <c r="C5" s="2" t="s">
        <v>3</v>
      </c>
      <c r="D5" s="2" t="s">
        <v>6</v>
      </c>
      <c r="E5" s="2" t="s">
        <v>27</v>
      </c>
      <c r="F5" s="2" t="s">
        <v>25</v>
      </c>
      <c r="G5" s="2" t="s">
        <v>13</v>
      </c>
      <c r="H5" s="2"/>
      <c r="I5" s="2"/>
      <c r="J5" s="2"/>
      <c r="K5" s="2"/>
      <c r="L5" s="2">
        <v>247</v>
      </c>
      <c r="M5" s="2" t="s">
        <v>16</v>
      </c>
      <c r="N5" s="13"/>
    </row>
    <row r="6" spans="1:14" x14ac:dyDescent="0.35">
      <c r="A6" s="13"/>
      <c r="B6" s="13"/>
      <c r="C6" s="2" t="s">
        <v>3</v>
      </c>
      <c r="D6" s="2" t="s">
        <v>43</v>
      </c>
      <c r="E6" s="2" t="s">
        <v>27</v>
      </c>
      <c r="F6" s="2" t="s">
        <v>25</v>
      </c>
      <c r="G6" s="2" t="s">
        <v>13</v>
      </c>
      <c r="H6" s="2"/>
      <c r="I6" s="2"/>
      <c r="J6" s="2"/>
      <c r="K6" s="2"/>
      <c r="L6" s="2">
        <v>28</v>
      </c>
      <c r="M6" s="2" t="s">
        <v>16</v>
      </c>
      <c r="N6" s="13"/>
    </row>
    <row r="7" spans="1:14" x14ac:dyDescent="0.35">
      <c r="A7" s="13"/>
      <c r="B7" s="13"/>
      <c r="C7" s="2" t="s">
        <v>3</v>
      </c>
      <c r="D7" s="2" t="s">
        <v>20</v>
      </c>
      <c r="E7" s="2" t="s">
        <v>27</v>
      </c>
      <c r="F7" s="2" t="s">
        <v>25</v>
      </c>
      <c r="G7" s="2" t="s">
        <v>13</v>
      </c>
      <c r="H7" s="2"/>
      <c r="I7" s="2"/>
      <c r="J7" s="2"/>
      <c r="K7" s="2"/>
      <c r="L7" s="2">
        <v>15</v>
      </c>
      <c r="M7" s="2" t="s">
        <v>16</v>
      </c>
      <c r="N7" s="13"/>
    </row>
    <row r="8" spans="1:14" x14ac:dyDescent="0.35">
      <c r="A8" s="13"/>
      <c r="B8" s="13"/>
      <c r="C8" s="4" t="s">
        <v>3</v>
      </c>
      <c r="D8" s="2" t="s">
        <v>20</v>
      </c>
      <c r="E8" s="2" t="s">
        <v>27</v>
      </c>
      <c r="F8" s="2" t="s">
        <v>25</v>
      </c>
      <c r="G8" s="2" t="s">
        <v>10</v>
      </c>
      <c r="H8" s="2"/>
      <c r="I8" s="2"/>
      <c r="J8" s="2"/>
      <c r="K8" s="2"/>
      <c r="L8" s="2">
        <v>37</v>
      </c>
      <c r="M8" s="2" t="s">
        <v>16</v>
      </c>
      <c r="N8" s="13"/>
    </row>
    <row r="9" spans="1:14" x14ac:dyDescent="0.35">
      <c r="A9" s="13"/>
      <c r="B9" s="13"/>
      <c r="C9" s="4" t="s">
        <v>3</v>
      </c>
      <c r="D9" s="2" t="s">
        <v>5</v>
      </c>
      <c r="E9" s="2" t="s">
        <v>27</v>
      </c>
      <c r="F9" s="2" t="s">
        <v>25</v>
      </c>
      <c r="G9" s="2" t="s">
        <v>13</v>
      </c>
      <c r="H9" s="2"/>
      <c r="I9" s="2"/>
      <c r="J9" s="2"/>
      <c r="K9" s="2"/>
      <c r="L9" s="2">
        <v>259</v>
      </c>
      <c r="M9" s="2" t="s">
        <v>16</v>
      </c>
      <c r="N9" s="13"/>
    </row>
    <row r="10" spans="1:14" x14ac:dyDescent="0.35">
      <c r="A10" s="13"/>
      <c r="B10" s="13"/>
      <c r="C10" s="4" t="s">
        <v>3</v>
      </c>
      <c r="D10" s="2" t="s">
        <v>5</v>
      </c>
      <c r="E10" s="2" t="s">
        <v>27</v>
      </c>
      <c r="F10" s="2" t="s">
        <v>25</v>
      </c>
      <c r="G10" s="2" t="s">
        <v>10</v>
      </c>
      <c r="H10" s="2"/>
      <c r="I10" s="2"/>
      <c r="J10" s="2"/>
      <c r="K10" s="2"/>
      <c r="L10" s="2">
        <v>299</v>
      </c>
      <c r="M10" s="2" t="s">
        <v>16</v>
      </c>
      <c r="N10" s="13"/>
    </row>
    <row r="11" spans="1:14" x14ac:dyDescent="0.35">
      <c r="A11" s="13"/>
      <c r="B11" s="13"/>
      <c r="C11" s="4" t="s">
        <v>3</v>
      </c>
      <c r="D11" s="2" t="s">
        <v>7</v>
      </c>
      <c r="E11" s="2" t="s">
        <v>27</v>
      </c>
      <c r="F11" s="2" t="s">
        <v>25</v>
      </c>
      <c r="G11" s="2" t="s">
        <v>13</v>
      </c>
      <c r="H11" s="2"/>
      <c r="I11" s="2"/>
      <c r="J11" s="2"/>
      <c r="K11" s="2"/>
      <c r="L11" s="2">
        <v>261</v>
      </c>
      <c r="M11" s="2" t="s">
        <v>16</v>
      </c>
      <c r="N11" s="13"/>
    </row>
    <row r="12" spans="1:14" x14ac:dyDescent="0.35">
      <c r="A12" s="13"/>
      <c r="B12" s="13"/>
      <c r="C12" s="2" t="s">
        <v>3</v>
      </c>
      <c r="D12" s="2" t="s">
        <v>7</v>
      </c>
      <c r="E12" s="2" t="s">
        <v>27</v>
      </c>
      <c r="F12" s="2" t="s">
        <v>25</v>
      </c>
      <c r="G12" s="2" t="s">
        <v>10</v>
      </c>
      <c r="H12" s="2"/>
      <c r="I12" s="2"/>
      <c r="J12" s="2"/>
      <c r="K12" s="2"/>
      <c r="L12" s="2">
        <v>567</v>
      </c>
      <c r="M12" s="2" t="s">
        <v>16</v>
      </c>
      <c r="N12" s="13"/>
    </row>
    <row r="13" spans="1:14" x14ac:dyDescent="0.35">
      <c r="A13" s="13"/>
      <c r="B13" s="13"/>
      <c r="C13" s="2" t="s">
        <v>3</v>
      </c>
      <c r="D13" s="2" t="s">
        <v>22</v>
      </c>
      <c r="E13" s="2" t="s">
        <v>27</v>
      </c>
      <c r="F13" s="2" t="s">
        <v>25</v>
      </c>
      <c r="G13" s="2" t="s">
        <v>13</v>
      </c>
      <c r="H13" s="2"/>
      <c r="I13" s="2"/>
      <c r="J13" s="2"/>
      <c r="K13" s="2"/>
      <c r="L13" s="2">
        <v>42</v>
      </c>
      <c r="M13" s="2" t="s">
        <v>16</v>
      </c>
      <c r="N13" s="13"/>
    </row>
    <row r="14" spans="1:14" x14ac:dyDescent="0.35">
      <c r="A14" s="13"/>
      <c r="B14" s="13"/>
      <c r="C14" s="2" t="s">
        <v>3</v>
      </c>
      <c r="D14" s="2" t="s">
        <v>22</v>
      </c>
      <c r="E14" s="2" t="s">
        <v>27</v>
      </c>
      <c r="F14" s="2" t="s">
        <v>25</v>
      </c>
      <c r="G14" s="2" t="s">
        <v>10</v>
      </c>
      <c r="H14" s="2"/>
      <c r="I14" s="2"/>
      <c r="J14" s="2"/>
      <c r="K14" s="2"/>
      <c r="L14" s="2">
        <v>149</v>
      </c>
      <c r="M14" s="2" t="s">
        <v>16</v>
      </c>
      <c r="N14" s="13"/>
    </row>
    <row r="15" spans="1:14" x14ac:dyDescent="0.35">
      <c r="A15" s="13"/>
      <c r="B15" s="13"/>
      <c r="C15" s="2" t="s">
        <v>8</v>
      </c>
      <c r="D15" s="2" t="s">
        <v>9</v>
      </c>
      <c r="E15" s="2" t="s">
        <v>27</v>
      </c>
      <c r="F15" s="2" t="s">
        <v>25</v>
      </c>
      <c r="G15" s="2" t="s">
        <v>13</v>
      </c>
      <c r="H15" s="2"/>
      <c r="I15" s="2"/>
      <c r="J15" s="2"/>
      <c r="K15" s="2"/>
      <c r="L15" s="2">
        <v>1645</v>
      </c>
      <c r="M15" s="2" t="s">
        <v>16</v>
      </c>
      <c r="N15" s="13"/>
    </row>
    <row r="16" spans="1:14" x14ac:dyDescent="0.35">
      <c r="A16" s="13"/>
      <c r="B16" s="13"/>
      <c r="C16" s="2" t="s">
        <v>8</v>
      </c>
      <c r="D16" s="2" t="s">
        <v>9</v>
      </c>
      <c r="E16" s="2" t="s">
        <v>27</v>
      </c>
      <c r="F16" s="2" t="s">
        <v>25</v>
      </c>
      <c r="G16" s="2" t="s">
        <v>10</v>
      </c>
      <c r="H16" s="2"/>
      <c r="I16" s="2"/>
      <c r="J16" s="2"/>
      <c r="K16" s="2"/>
      <c r="L16" s="2">
        <v>481</v>
      </c>
      <c r="M16" s="2" t="s">
        <v>16</v>
      </c>
      <c r="N16" s="13"/>
    </row>
    <row r="17" spans="1:14" x14ac:dyDescent="0.35">
      <c r="A17" s="13"/>
      <c r="B17" s="13"/>
      <c r="C17" s="2" t="s">
        <v>8</v>
      </c>
      <c r="D17" s="2" t="s">
        <v>18</v>
      </c>
      <c r="E17" s="2" t="s">
        <v>27</v>
      </c>
      <c r="F17" s="2" t="s">
        <v>25</v>
      </c>
      <c r="G17" s="2" t="s">
        <v>13</v>
      </c>
      <c r="H17" s="2"/>
      <c r="I17" s="2"/>
      <c r="J17" s="2"/>
      <c r="K17" s="2"/>
      <c r="L17" s="2">
        <v>280</v>
      </c>
      <c r="M17" s="2" t="s">
        <v>16</v>
      </c>
      <c r="N17" s="13"/>
    </row>
    <row r="18" spans="1:14" x14ac:dyDescent="0.35">
      <c r="A18" s="13"/>
      <c r="B18" s="13"/>
      <c r="C18" s="2" t="s">
        <v>8</v>
      </c>
      <c r="D18" s="2" t="s">
        <v>18</v>
      </c>
      <c r="E18" s="2" t="s">
        <v>27</v>
      </c>
      <c r="F18" s="2" t="s">
        <v>25</v>
      </c>
      <c r="G18" s="2" t="s">
        <v>10</v>
      </c>
      <c r="H18" s="2"/>
      <c r="I18" s="2"/>
      <c r="J18" s="2"/>
      <c r="K18" s="2"/>
      <c r="L18" s="2">
        <v>293</v>
      </c>
      <c r="M18" s="2" t="s">
        <v>16</v>
      </c>
      <c r="N18" s="13"/>
    </row>
    <row r="19" spans="1:14" x14ac:dyDescent="0.35">
      <c r="A19" s="13"/>
      <c r="B19" s="13"/>
      <c r="C19" s="2" t="s">
        <v>8</v>
      </c>
      <c r="D19" s="2" t="s">
        <v>9</v>
      </c>
      <c r="E19" s="2" t="s">
        <v>27</v>
      </c>
      <c r="F19" s="2" t="s">
        <v>45</v>
      </c>
      <c r="G19" s="2" t="s">
        <v>13</v>
      </c>
      <c r="H19" s="2"/>
      <c r="I19" s="2"/>
      <c r="J19" s="2"/>
      <c r="K19" s="2"/>
      <c r="L19" s="2">
        <v>1293</v>
      </c>
      <c r="M19" s="2" t="s">
        <v>17</v>
      </c>
      <c r="N19" s="13"/>
    </row>
    <row r="20" spans="1:14" x14ac:dyDescent="0.35">
      <c r="A20" s="13"/>
      <c r="B20" s="13"/>
      <c r="C20" s="2" t="s">
        <v>8</v>
      </c>
      <c r="D20" s="2" t="s">
        <v>18</v>
      </c>
      <c r="E20" s="2" t="s">
        <v>27</v>
      </c>
      <c r="F20" s="2" t="s">
        <v>45</v>
      </c>
      <c r="G20" s="2" t="s">
        <v>13</v>
      </c>
      <c r="H20" s="2"/>
      <c r="I20" s="2"/>
      <c r="J20" s="2"/>
      <c r="K20" s="2"/>
      <c r="L20" s="2">
        <v>861</v>
      </c>
      <c r="M20" s="2" t="s">
        <v>17</v>
      </c>
      <c r="N20" s="13"/>
    </row>
    <row r="21" spans="1:14" x14ac:dyDescent="0.35">
      <c r="A21" s="13"/>
      <c r="B21" s="13"/>
      <c r="C21" s="2" t="s">
        <v>11</v>
      </c>
      <c r="D21" s="2" t="s">
        <v>12</v>
      </c>
      <c r="E21" s="2" t="s">
        <v>28</v>
      </c>
      <c r="F21" s="4" t="s">
        <v>25</v>
      </c>
      <c r="G21" s="2" t="s">
        <v>13</v>
      </c>
      <c r="H21" s="2"/>
      <c r="I21" s="2"/>
      <c r="J21" s="2"/>
      <c r="K21" s="2"/>
      <c r="L21" s="2">
        <f>60+50</f>
        <v>110</v>
      </c>
      <c r="M21" s="2" t="s">
        <v>17</v>
      </c>
      <c r="N21" s="13"/>
    </row>
    <row r="22" spans="1:14" x14ac:dyDescent="0.35">
      <c r="A22" s="13"/>
      <c r="B22" s="13"/>
      <c r="C22" s="4" t="s">
        <v>11</v>
      </c>
      <c r="D22" s="2" t="s">
        <v>19</v>
      </c>
      <c r="E22" s="2" t="s">
        <v>28</v>
      </c>
      <c r="F22" s="4" t="s">
        <v>25</v>
      </c>
      <c r="G22" s="2" t="s">
        <v>13</v>
      </c>
      <c r="H22" s="2"/>
      <c r="I22" s="2"/>
      <c r="J22" s="2"/>
      <c r="K22" s="2"/>
      <c r="L22" s="2">
        <f>99+51+62+61+26</f>
        <v>299</v>
      </c>
      <c r="M22" s="2" t="s">
        <v>17</v>
      </c>
      <c r="N22" s="13"/>
    </row>
    <row r="23" spans="1:14" x14ac:dyDescent="0.35">
      <c r="A23" s="13"/>
      <c r="B23" s="13"/>
      <c r="C23" s="2" t="s">
        <v>11</v>
      </c>
      <c r="D23" s="2" t="s">
        <v>21</v>
      </c>
      <c r="E23" s="2" t="s">
        <v>28</v>
      </c>
      <c r="F23" s="4" t="s">
        <v>25</v>
      </c>
      <c r="G23" s="2" t="s">
        <v>13</v>
      </c>
      <c r="H23" s="2"/>
      <c r="I23" s="2"/>
      <c r="J23" s="2"/>
      <c r="K23" s="2"/>
      <c r="L23" s="2">
        <f>37+136+33+99+79+25+145+54</f>
        <v>608</v>
      </c>
      <c r="M23" s="2" t="s">
        <v>17</v>
      </c>
      <c r="N23" s="13"/>
    </row>
    <row r="24" spans="1:14" x14ac:dyDescent="0.35">
      <c r="A24" s="13"/>
      <c r="B24" s="13"/>
      <c r="C24" s="2" t="s">
        <v>11</v>
      </c>
      <c r="D24" s="2" t="s">
        <v>23</v>
      </c>
      <c r="E24" s="2" t="s">
        <v>28</v>
      </c>
      <c r="F24" s="4" t="s">
        <v>25</v>
      </c>
      <c r="G24" s="2" t="s">
        <v>13</v>
      </c>
      <c r="H24" s="2"/>
      <c r="I24" s="2"/>
      <c r="J24" s="2"/>
      <c r="K24" s="2"/>
      <c r="L24" s="2">
        <f>SUM(34)</f>
        <v>34</v>
      </c>
      <c r="M24" s="2" t="s">
        <v>17</v>
      </c>
      <c r="N24" s="13"/>
    </row>
    <row r="25" spans="1:14" x14ac:dyDescent="0.35">
      <c r="A25" s="13"/>
      <c r="B25" s="13"/>
      <c r="C25" s="2" t="s">
        <v>11</v>
      </c>
      <c r="D25" s="2" t="s">
        <v>24</v>
      </c>
      <c r="E25" s="2" t="s">
        <v>28</v>
      </c>
      <c r="F25" s="4" t="s">
        <v>25</v>
      </c>
      <c r="G25" s="2" t="s">
        <v>13</v>
      </c>
      <c r="H25" s="2"/>
      <c r="I25" s="2"/>
      <c r="J25" s="2"/>
      <c r="K25" s="2"/>
      <c r="L25" s="2">
        <f>64+82+72+30</f>
        <v>248</v>
      </c>
      <c r="M25" s="2" t="s">
        <v>17</v>
      </c>
      <c r="N25" s="13"/>
    </row>
    <row r="26" spans="1:14" x14ac:dyDescent="0.35">
      <c r="A26" s="13"/>
      <c r="B26" s="13"/>
      <c r="C26" s="4" t="s">
        <v>11</v>
      </c>
      <c r="D26" s="4" t="s">
        <v>36</v>
      </c>
      <c r="E26" s="2" t="s">
        <v>28</v>
      </c>
      <c r="F26" s="4" t="s">
        <v>25</v>
      </c>
      <c r="G26" s="2" t="s">
        <v>13</v>
      </c>
      <c r="H26" s="2"/>
      <c r="I26" s="2"/>
      <c r="J26" s="2"/>
      <c r="K26" s="2"/>
      <c r="L26" s="2">
        <f>98+74+53</f>
        <v>225</v>
      </c>
      <c r="M26" s="4" t="s">
        <v>17</v>
      </c>
      <c r="N26" s="13"/>
    </row>
    <row r="27" spans="1:14" x14ac:dyDescent="0.35">
      <c r="A27" s="13"/>
      <c r="B27" s="13"/>
      <c r="C27" s="4" t="s">
        <v>11</v>
      </c>
      <c r="D27" s="4" t="s">
        <v>46</v>
      </c>
      <c r="E27" s="2" t="s">
        <v>42</v>
      </c>
      <c r="F27" s="4" t="s">
        <v>25</v>
      </c>
      <c r="G27" s="2" t="s">
        <v>13</v>
      </c>
      <c r="H27" s="2"/>
      <c r="I27" s="2"/>
      <c r="J27" s="2"/>
      <c r="K27" s="2"/>
      <c r="L27" s="2">
        <v>34</v>
      </c>
      <c r="M27" s="4" t="s">
        <v>17</v>
      </c>
      <c r="N27" s="13"/>
    </row>
    <row r="28" spans="1:14" x14ac:dyDescent="0.35">
      <c r="A28" s="13"/>
      <c r="B28" s="13"/>
      <c r="C28" s="4" t="s">
        <v>11</v>
      </c>
      <c r="D28" s="4" t="s">
        <v>33</v>
      </c>
      <c r="E28" s="2" t="s">
        <v>29</v>
      </c>
      <c r="F28" s="4" t="s">
        <v>25</v>
      </c>
      <c r="G28" s="2" t="s">
        <v>13</v>
      </c>
      <c r="H28" s="2"/>
      <c r="I28" s="2"/>
      <c r="J28" s="2"/>
      <c r="K28" s="2"/>
      <c r="L28" s="2">
        <f>76+59+43+18+40+28</f>
        <v>264</v>
      </c>
      <c r="M28" s="4" t="s">
        <v>17</v>
      </c>
      <c r="N28" s="13"/>
    </row>
    <row r="29" spans="1:14" x14ac:dyDescent="0.35">
      <c r="A29" s="13"/>
      <c r="B29" s="13"/>
      <c r="C29" s="4" t="s">
        <v>11</v>
      </c>
      <c r="D29" s="4" t="s">
        <v>32</v>
      </c>
      <c r="E29" s="2" t="s">
        <v>29</v>
      </c>
      <c r="F29" s="4" t="s">
        <v>25</v>
      </c>
      <c r="G29" s="2" t="s">
        <v>13</v>
      </c>
      <c r="H29" s="2"/>
      <c r="I29" s="2"/>
      <c r="J29" s="2"/>
      <c r="K29" s="2"/>
      <c r="L29" s="2">
        <f>59+50+40+73</f>
        <v>222</v>
      </c>
      <c r="M29" s="4" t="s">
        <v>17</v>
      </c>
      <c r="N29" s="13"/>
    </row>
    <row r="30" spans="1:14" x14ac:dyDescent="0.35">
      <c r="A30" s="13"/>
      <c r="B30" s="13"/>
      <c r="C30" s="4" t="s">
        <v>11</v>
      </c>
      <c r="D30" s="4" t="s">
        <v>34</v>
      </c>
      <c r="E30" s="2" t="s">
        <v>29</v>
      </c>
      <c r="F30" s="4" t="s">
        <v>25</v>
      </c>
      <c r="G30" s="2" t="s">
        <v>13</v>
      </c>
      <c r="H30" s="2"/>
      <c r="I30" s="2"/>
      <c r="J30" s="2"/>
      <c r="K30" s="2"/>
      <c r="L30" s="2">
        <f>41+39+26</f>
        <v>106</v>
      </c>
      <c r="M30" s="4" t="s">
        <v>17</v>
      </c>
      <c r="N30" s="13"/>
    </row>
    <row r="31" spans="1:14" x14ac:dyDescent="0.35">
      <c r="A31" s="13"/>
      <c r="B31" s="13"/>
      <c r="C31" s="4" t="s">
        <v>11</v>
      </c>
      <c r="D31" s="4" t="s">
        <v>31</v>
      </c>
      <c r="E31" s="2" t="s">
        <v>29</v>
      </c>
      <c r="F31" s="4" t="s">
        <v>25</v>
      </c>
      <c r="G31" s="2" t="s">
        <v>13</v>
      </c>
      <c r="H31" s="2"/>
      <c r="I31" s="2"/>
      <c r="J31" s="2"/>
      <c r="K31" s="2"/>
      <c r="L31" s="2">
        <f>64+54+54+36</f>
        <v>208</v>
      </c>
      <c r="M31" s="4" t="s">
        <v>17</v>
      </c>
      <c r="N31" s="13"/>
    </row>
    <row r="32" spans="1:14" x14ac:dyDescent="0.35">
      <c r="A32" s="13"/>
      <c r="B32" s="13"/>
      <c r="C32" s="4" t="s">
        <v>11</v>
      </c>
      <c r="D32" s="4" t="s">
        <v>35</v>
      </c>
      <c r="E32" s="2" t="s">
        <v>30</v>
      </c>
      <c r="F32" s="4" t="s">
        <v>25</v>
      </c>
      <c r="G32" s="2" t="s">
        <v>13</v>
      </c>
      <c r="H32" s="2"/>
      <c r="I32" s="2"/>
      <c r="J32" s="2"/>
      <c r="K32" s="2"/>
      <c r="L32" s="2">
        <f>102+70+107+98+88+62+86+95+75+35</f>
        <v>818</v>
      </c>
      <c r="M32" s="4" t="s">
        <v>17</v>
      </c>
      <c r="N32" s="13"/>
    </row>
    <row r="33" spans="1:14" x14ac:dyDescent="0.35">
      <c r="A33" s="13"/>
      <c r="B33" s="13"/>
      <c r="C33" s="4" t="s">
        <v>11</v>
      </c>
      <c r="D33" s="4" t="s">
        <v>36</v>
      </c>
      <c r="E33" s="2" t="s">
        <v>30</v>
      </c>
      <c r="F33" s="4" t="s">
        <v>25</v>
      </c>
      <c r="G33" s="2" t="s">
        <v>13</v>
      </c>
      <c r="H33" s="2"/>
      <c r="I33" s="2"/>
      <c r="J33" s="2"/>
      <c r="K33" s="2"/>
      <c r="L33" s="2">
        <f>73+68+38+36</f>
        <v>215</v>
      </c>
      <c r="M33" s="4" t="s">
        <v>17</v>
      </c>
      <c r="N33" s="13"/>
    </row>
    <row r="34" spans="1:14" x14ac:dyDescent="0.35">
      <c r="A34" s="13"/>
      <c r="B34" s="13"/>
      <c r="C34" s="4" t="s">
        <v>11</v>
      </c>
      <c r="D34" s="4" t="s">
        <v>47</v>
      </c>
      <c r="E34" s="2" t="s">
        <v>30</v>
      </c>
      <c r="F34" s="4" t="s">
        <v>25</v>
      </c>
      <c r="G34" s="2" t="s">
        <v>13</v>
      </c>
      <c r="H34" s="2"/>
      <c r="I34" s="2"/>
      <c r="J34" s="2"/>
      <c r="K34" s="2"/>
      <c r="L34" s="2">
        <f>57+62+80+108+172+29</f>
        <v>508</v>
      </c>
      <c r="M34" s="4" t="s">
        <v>17</v>
      </c>
      <c r="N34" s="13"/>
    </row>
    <row r="35" spans="1:14" x14ac:dyDescent="0.35">
      <c r="A35" s="13"/>
      <c r="B35" s="13"/>
      <c r="C35" s="4" t="s">
        <v>11</v>
      </c>
      <c r="D35" s="4" t="s">
        <v>48</v>
      </c>
      <c r="E35" s="2" t="s">
        <v>30</v>
      </c>
      <c r="F35" s="4" t="s">
        <v>25</v>
      </c>
      <c r="G35" s="2" t="s">
        <v>13</v>
      </c>
      <c r="H35" s="2"/>
      <c r="I35" s="2"/>
      <c r="J35" s="2"/>
      <c r="K35" s="2"/>
      <c r="L35" s="2">
        <f>79+85+81+133+34</f>
        <v>412</v>
      </c>
      <c r="M35" s="4" t="s">
        <v>17</v>
      </c>
      <c r="N35" s="13"/>
    </row>
    <row r="36" spans="1:14" x14ac:dyDescent="0.35">
      <c r="A36" s="13"/>
      <c r="B36" s="13"/>
      <c r="C36" s="4" t="s">
        <v>11</v>
      </c>
      <c r="D36" s="4" t="s">
        <v>49</v>
      </c>
      <c r="E36" s="2" t="s">
        <v>30</v>
      </c>
      <c r="F36" s="4" t="s">
        <v>25</v>
      </c>
      <c r="G36" s="2" t="s">
        <v>13</v>
      </c>
      <c r="H36" s="2"/>
      <c r="I36" s="2"/>
      <c r="J36" s="2"/>
      <c r="K36" s="2"/>
      <c r="L36" s="2">
        <f>139+50+40+162+129+141+182+82</f>
        <v>925</v>
      </c>
      <c r="M36" s="4" t="s">
        <v>17</v>
      </c>
      <c r="N36" s="13"/>
    </row>
    <row r="37" spans="1:14" x14ac:dyDescent="0.35">
      <c r="A37" s="13"/>
      <c r="B37" s="13"/>
      <c r="C37" s="4" t="s">
        <v>11</v>
      </c>
      <c r="D37" s="4" t="s">
        <v>50</v>
      </c>
      <c r="E37" s="2" t="s">
        <v>30</v>
      </c>
      <c r="F37" s="4" t="s">
        <v>25</v>
      </c>
      <c r="G37" s="2" t="s">
        <v>13</v>
      </c>
      <c r="H37" s="2"/>
      <c r="I37" s="2"/>
      <c r="J37" s="2"/>
      <c r="K37" s="2"/>
      <c r="L37" s="2">
        <f>98+23</f>
        <v>121</v>
      </c>
      <c r="M37" s="4" t="s">
        <v>17</v>
      </c>
      <c r="N37" s="13"/>
    </row>
    <row r="38" spans="1:14" x14ac:dyDescent="0.35">
      <c r="A38" s="13"/>
      <c r="B38" s="13"/>
      <c r="C38" s="4" t="s">
        <v>11</v>
      </c>
      <c r="D38" s="4" t="s">
        <v>51</v>
      </c>
      <c r="E38" s="2" t="s">
        <v>42</v>
      </c>
      <c r="F38" s="4" t="s">
        <v>25</v>
      </c>
      <c r="G38" s="2" t="s">
        <v>13</v>
      </c>
      <c r="H38" s="2"/>
      <c r="I38" s="2"/>
      <c r="J38" s="2"/>
      <c r="K38" s="2"/>
      <c r="L38" s="2">
        <f>82+130+75+42</f>
        <v>329</v>
      </c>
      <c r="M38" s="4" t="s">
        <v>17</v>
      </c>
      <c r="N38" s="13"/>
    </row>
    <row r="39" spans="1:14" x14ac:dyDescent="0.35">
      <c r="A39" s="13"/>
      <c r="B39" s="13"/>
      <c r="C39" s="4" t="s">
        <v>11</v>
      </c>
      <c r="D39" s="4" t="s">
        <v>53</v>
      </c>
      <c r="E39" s="2" t="s">
        <v>52</v>
      </c>
      <c r="F39" s="4" t="s">
        <v>25</v>
      </c>
      <c r="G39" s="2" t="s">
        <v>13</v>
      </c>
      <c r="H39" s="2"/>
      <c r="I39" s="2"/>
      <c r="J39" s="2"/>
      <c r="K39" s="2"/>
      <c r="L39" s="2">
        <v>472</v>
      </c>
      <c r="M39" s="4" t="s">
        <v>17</v>
      </c>
      <c r="N39" s="13"/>
    </row>
    <row r="40" spans="1:14" x14ac:dyDescent="0.35">
      <c r="A40" s="13"/>
      <c r="B40" s="13"/>
      <c r="C40" s="4" t="s">
        <v>11</v>
      </c>
      <c r="D40" s="4" t="s">
        <v>54</v>
      </c>
      <c r="E40" s="2" t="s">
        <v>52</v>
      </c>
      <c r="F40" s="4" t="s">
        <v>25</v>
      </c>
      <c r="G40" s="2" t="s">
        <v>13</v>
      </c>
      <c r="H40" s="2"/>
      <c r="I40" s="2"/>
      <c r="J40" s="2"/>
      <c r="K40" s="2"/>
      <c r="L40" s="2">
        <v>163</v>
      </c>
      <c r="M40" s="4" t="s">
        <v>17</v>
      </c>
      <c r="N40" s="13"/>
    </row>
    <row r="41" spans="1:14" x14ac:dyDescent="0.35">
      <c r="A41" s="13"/>
      <c r="B41" s="13"/>
      <c r="C41" s="4" t="s">
        <v>11</v>
      </c>
      <c r="D41" s="4" t="s">
        <v>55</v>
      </c>
      <c r="E41" s="2" t="s">
        <v>52</v>
      </c>
      <c r="F41" s="4" t="s">
        <v>25</v>
      </c>
      <c r="G41" s="2" t="s">
        <v>13</v>
      </c>
      <c r="H41" s="2"/>
      <c r="I41" s="2"/>
      <c r="J41" s="2"/>
      <c r="K41" s="2"/>
      <c r="L41" s="2">
        <v>64</v>
      </c>
      <c r="M41" s="4" t="s">
        <v>17</v>
      </c>
      <c r="N41" s="13"/>
    </row>
    <row r="42" spans="1:14" x14ac:dyDescent="0.35">
      <c r="A42" s="13"/>
      <c r="B42" s="13"/>
      <c r="C42" s="4" t="s">
        <v>11</v>
      </c>
      <c r="D42" s="4" t="s">
        <v>56</v>
      </c>
      <c r="E42" s="2" t="s">
        <v>52</v>
      </c>
      <c r="F42" s="4" t="s">
        <v>25</v>
      </c>
      <c r="G42" s="2" t="s">
        <v>13</v>
      </c>
      <c r="H42" s="2"/>
      <c r="I42" s="2"/>
      <c r="J42" s="2"/>
      <c r="K42" s="2"/>
      <c r="L42" s="2">
        <v>66</v>
      </c>
      <c r="M42" s="4" t="s">
        <v>17</v>
      </c>
      <c r="N42" s="13"/>
    </row>
    <row r="43" spans="1:14" x14ac:dyDescent="0.35">
      <c r="A43" s="13"/>
      <c r="B43" s="13"/>
      <c r="C43" s="2"/>
      <c r="D43" s="2"/>
      <c r="E43" s="2"/>
      <c r="F43" s="2"/>
      <c r="G43" s="11" t="s">
        <v>14</v>
      </c>
      <c r="H43" s="11"/>
      <c r="I43" s="11"/>
      <c r="J43" s="11"/>
      <c r="K43" s="11"/>
      <c r="L43" s="11">
        <f>SUM(L2:L42)</f>
        <v>15245</v>
      </c>
      <c r="M43" s="2"/>
      <c r="N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 Summary</vt:lpstr>
      <vt:lpstr>Dashboard</vt:lpstr>
      <vt:lpstr>MIS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Bojarajan</dc:creator>
  <cp:lastModifiedBy>Muralitharan.B</cp:lastModifiedBy>
  <dcterms:created xsi:type="dcterms:W3CDTF">2026-04-28T14:15:37Z</dcterms:created>
  <dcterms:modified xsi:type="dcterms:W3CDTF">2026-08-03T14:31:21Z</dcterms:modified>
</cp:coreProperties>
</file>
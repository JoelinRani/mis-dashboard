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arkisolutions-my.sharepoint.com/personal/murali_parkisolutions_com/Documents/Desktop/Dashboard/"/>
    </mc:Choice>
  </mc:AlternateContent>
  <xr:revisionPtr revIDLastSave="1" documentId="8_{FD48D621-2F70-4EDE-8043-D2F1169D2A7B}" xr6:coauthVersionLast="47" xr6:coauthVersionMax="47" xr10:uidLastSave="{E5377368-8D12-4544-A810-BE1AE8E7521F}"/>
  <bookViews>
    <workbookView minimized="1" xWindow="2280" yWindow="2280" windowWidth="14400" windowHeight="8180" tabRatio="659" xr2:uid="{00000000-000D-0000-FFFF-FFFF00000000}"/>
  </bookViews>
  <sheets>
    <sheet name="Dashboard" sheetId="1" r:id="rId1"/>
    <sheet name="Project Status" sheetId="2" r:id="rId2"/>
    <sheet name="Resource Utilization" sheetId="3" r:id="rId3"/>
    <sheet name="Defect Tracking" sheetId="4" r:id="rId4"/>
  </sheets>
  <calcPr calcId="191028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3" l="1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I8" i="3"/>
  <c r="I7" i="3"/>
  <c r="I6" i="3"/>
  <c r="I5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43" i="3"/>
  <c r="E5" i="1"/>
  <c r="B10" i="1"/>
  <c r="B9" i="1"/>
  <c r="B7" i="1"/>
  <c r="B6" i="1"/>
  <c r="B5" i="1"/>
  <c r="I30" i="3"/>
  <c r="J30" i="3" s="1"/>
  <c r="K30" i="3" s="1"/>
  <c r="I31" i="3"/>
  <c r="I32" i="3"/>
  <c r="I33" i="3"/>
  <c r="I34" i="3"/>
  <c r="J34" i="3" s="1"/>
  <c r="K34" i="3" s="1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N4" i="3"/>
  <c r="C58" i="3"/>
  <c r="C59" i="3"/>
  <c r="C60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43" i="3"/>
  <c r="J31" i="3"/>
  <c r="K31" i="3" s="1"/>
  <c r="J32" i="3"/>
  <c r="K32" i="3" s="1"/>
  <c r="J33" i="3"/>
  <c r="K33" i="3" s="1"/>
  <c r="I20" i="3"/>
  <c r="I23" i="3"/>
  <c r="I18" i="3"/>
  <c r="I14" i="3"/>
  <c r="I10" i="3"/>
  <c r="J10" i="3" s="1"/>
  <c r="I12" i="3"/>
  <c r="J12" i="3" s="1"/>
  <c r="I13" i="3"/>
  <c r="J13" i="3" s="1"/>
  <c r="I15" i="3"/>
  <c r="I16" i="3"/>
  <c r="J16" i="3" s="1"/>
  <c r="I17" i="3"/>
  <c r="I19" i="3"/>
  <c r="J19" i="3" s="1"/>
  <c r="I22" i="3"/>
  <c r="I24" i="3"/>
  <c r="J24" i="3" s="1"/>
  <c r="I25" i="3"/>
  <c r="J25" i="3" s="1"/>
  <c r="K25" i="3" s="1"/>
  <c r="I26" i="3"/>
  <c r="J26" i="3" s="1"/>
  <c r="K26" i="3" s="1"/>
  <c r="I27" i="3"/>
  <c r="J27" i="3" s="1"/>
  <c r="K27" i="3" s="1"/>
  <c r="I28" i="3"/>
  <c r="J28" i="3" s="1"/>
  <c r="K28" i="3" s="1"/>
  <c r="I29" i="3"/>
  <c r="F43" i="3" l="1"/>
  <c r="E6" i="1"/>
  <c r="J29" i="3"/>
  <c r="K29" i="3" s="1"/>
  <c r="J23" i="3"/>
  <c r="K23" i="3" s="1"/>
  <c r="J22" i="3"/>
  <c r="J20" i="3"/>
  <c r="K20" i="3" s="1"/>
  <c r="J18" i="3"/>
  <c r="K18" i="3" s="1"/>
  <c r="J17" i="3"/>
  <c r="J15" i="3"/>
  <c r="J14" i="3"/>
  <c r="G60" i="3"/>
  <c r="H60" i="3" s="1"/>
  <c r="J5" i="3"/>
  <c r="J8" i="3"/>
  <c r="J6" i="3"/>
  <c r="J7" i="3"/>
  <c r="G58" i="3"/>
  <c r="H58" i="3" s="1"/>
  <c r="G59" i="3"/>
  <c r="H59" i="3" s="1"/>
  <c r="K24" i="3" l="1"/>
  <c r="K17" i="3"/>
  <c r="K19" i="3"/>
  <c r="K22" i="3"/>
  <c r="G46" i="3" l="1"/>
  <c r="G55" i="3"/>
  <c r="H55" i="3" s="1"/>
  <c r="G48" i="3"/>
  <c r="H48" i="3" s="1"/>
  <c r="G56" i="3"/>
  <c r="H56" i="3" s="1"/>
  <c r="G54" i="3"/>
  <c r="H54" i="3" s="1"/>
  <c r="G52" i="3"/>
  <c r="H52" i="3" s="1"/>
  <c r="G49" i="3"/>
  <c r="H49" i="3" s="1"/>
  <c r="G47" i="3"/>
  <c r="H47" i="3" s="1"/>
  <c r="G57" i="3"/>
  <c r="H57" i="3" s="1"/>
  <c r="G51" i="3"/>
  <c r="H51" i="3" s="1"/>
  <c r="G45" i="3"/>
  <c r="G53" i="3"/>
  <c r="H53" i="3" s="1"/>
  <c r="G50" i="3"/>
  <c r="H50" i="3" s="1"/>
  <c r="G44" i="3"/>
  <c r="K6" i="3" l="1"/>
  <c r="K8" i="3"/>
  <c r="K10" i="3"/>
  <c r="I5" i="4"/>
  <c r="K43" i="3"/>
  <c r="E11" i="1"/>
  <c r="K12" i="3"/>
  <c r="E17" i="1"/>
  <c r="E16" i="1"/>
  <c r="E15" i="1"/>
  <c r="E14" i="1"/>
  <c r="H9" i="1"/>
  <c r="E9" i="1"/>
  <c r="H8" i="1"/>
  <c r="H7" i="1"/>
  <c r="H6" i="1"/>
  <c r="H5" i="1"/>
  <c r="B15" i="1" l="1"/>
  <c r="B14" i="1"/>
  <c r="E10" i="1"/>
  <c r="B16" i="1"/>
  <c r="J5" i="4"/>
  <c r="K5" i="4" s="1"/>
  <c r="J5" i="2"/>
  <c r="K5" i="2" s="1"/>
  <c r="K16" i="3"/>
  <c r="K15" i="3"/>
  <c r="K5" i="3"/>
  <c r="H14" i="1" l="1"/>
  <c r="H10" i="1"/>
  <c r="H11" i="1" s="1"/>
  <c r="H16" i="1"/>
  <c r="H15" i="1"/>
  <c r="H46" i="3"/>
  <c r="H45" i="3"/>
  <c r="H44" i="3"/>
  <c r="G43" i="3"/>
  <c r="H43" i="3" s="1"/>
  <c r="J43" i="3"/>
  <c r="E7" i="1" s="1"/>
</calcChain>
</file>

<file path=xl/sharedStrings.xml><?xml version="1.0" encoding="utf-8"?>
<sst xmlns="http://schemas.openxmlformats.org/spreadsheetml/2006/main" count="235" uniqueCount="123">
  <si>
    <t>Software Department – MIS Dashboard</t>
  </si>
  <si>
    <t>Reporting Period: August 2026   |   Report Date: 05-Aug-2026</t>
  </si>
  <si>
    <t>Project Portfolio</t>
  </si>
  <si>
    <t>Resource Utilization</t>
  </si>
  <si>
    <t>Quality / Defects</t>
  </si>
  <si>
    <t>Total Projects</t>
  </si>
  <si>
    <t>Team Headcount</t>
  </si>
  <si>
    <t>Total Defects Logged</t>
  </si>
  <si>
    <t>On Track</t>
  </si>
  <si>
    <t>Avg Allocation %</t>
  </si>
  <si>
    <t>Open</t>
  </si>
  <si>
    <t>At Risk</t>
  </si>
  <si>
    <t>Avg Utilization %</t>
  </si>
  <si>
    <t>In Progress</t>
  </si>
  <si>
    <t>Delayed</t>
  </si>
  <si>
    <t>Total Billable Hrs</t>
  </si>
  <si>
    <t>Closed</t>
  </si>
  <si>
    <t>Avg % Complete</t>
  </si>
  <si>
    <t>Total Non-Billable Hrs</t>
  </si>
  <si>
    <t>Critical &amp; Open</t>
  </si>
  <si>
    <t>Hours Variance %</t>
  </si>
  <si>
    <t>Over-allocated Staff</t>
  </si>
  <si>
    <t>SLA Breaches</t>
  </si>
  <si>
    <t>SLA Compliance %</t>
  </si>
  <si>
    <t>Chart Source Data (auto-computed – do not edit)</t>
  </si>
  <si>
    <t>Project RAG Status</t>
  </si>
  <si>
    <t>Defect Severity (Open Items)</t>
  </si>
  <si>
    <t>SLA Status Breakdown</t>
  </si>
  <si>
    <t>Critical</t>
  </si>
  <si>
    <t>Met</t>
  </si>
  <si>
    <t>High</t>
  </si>
  <si>
    <t>Within SLA</t>
  </si>
  <si>
    <t>Medium</t>
  </si>
  <si>
    <t>Breached</t>
  </si>
  <si>
    <t>Low</t>
  </si>
  <si>
    <t>Software Department – Project Status</t>
  </si>
  <si>
    <t>S.No</t>
  </si>
  <si>
    <t>Project Name</t>
  </si>
  <si>
    <t>Project Manager</t>
  </si>
  <si>
    <t>Start Date</t>
  </si>
  <si>
    <t>Planned End Date</t>
  </si>
  <si>
    <t>% Complete</t>
  </si>
  <si>
    <t>Planned Hours</t>
  </si>
  <si>
    <t>Actual Hours</t>
  </si>
  <si>
    <t>Hours Variance</t>
  </si>
  <si>
    <t>Variance %</t>
  </si>
  <si>
    <t>Status (RAG)</t>
  </si>
  <si>
    <t>Remarks</t>
  </si>
  <si>
    <t>Revalix</t>
  </si>
  <si>
    <t>On schedule</t>
  </si>
  <si>
    <t>Software Department – Resource Utilization</t>
  </si>
  <si>
    <t>Reporting Period: August 2026   |   One row per employee-project assignment — the same employee can appear on multiple rows</t>
  </si>
  <si>
    <t>Employee Name</t>
  </si>
  <si>
    <t>Role</t>
  </si>
  <si>
    <t>Project Allocated</t>
  </si>
  <si>
    <t>Allocation %</t>
  </si>
  <si>
    <t>Billable Hours</t>
  </si>
  <si>
    <t>Non-Billable Hours</t>
  </si>
  <si>
    <t>Dinesh N</t>
  </si>
  <si>
    <t>Vinodkumar G</t>
  </si>
  <si>
    <t>Aravinthan A</t>
  </si>
  <si>
    <t>Software Developer</t>
  </si>
  <si>
    <t>Srisabarish V</t>
  </si>
  <si>
    <t>Employee Allocation Summary (auto-computed – add a row here if you add a new employee)</t>
  </si>
  <si>
    <t>Total Allocation %</t>
  </si>
  <si>
    <t>Standard Hours</t>
  </si>
  <si>
    <t>Utilization %</t>
  </si>
  <si>
    <t>Allocation Status</t>
  </si>
  <si>
    <t>Software Department – Defect / Quality Tracking</t>
  </si>
  <si>
    <t>Defect ID</t>
  </si>
  <si>
    <t>Project</t>
  </si>
  <si>
    <t>Severity</t>
  </si>
  <si>
    <t>Status</t>
  </si>
  <si>
    <t>Reported Date</t>
  </si>
  <si>
    <t>Resolved Date</t>
  </si>
  <si>
    <t>Ageing (Days)</t>
  </si>
  <si>
    <t>SLA Target (Days)</t>
  </si>
  <si>
    <t>SLA Variance (Days)</t>
  </si>
  <si>
    <t>SLA Status</t>
  </si>
  <si>
    <t>Assigned To</t>
  </si>
  <si>
    <t>DEF-1001</t>
  </si>
  <si>
    <t>Dinesh</t>
  </si>
  <si>
    <t>SLA Policy (editable – target resolution days by severity)</t>
  </si>
  <si>
    <t>Target (Days)</t>
  </si>
  <si>
    <t>Renuka</t>
  </si>
  <si>
    <t>Revalix 1.0</t>
  </si>
  <si>
    <t>Revalix 2.0</t>
  </si>
  <si>
    <t>MAKO</t>
  </si>
  <si>
    <t>General</t>
  </si>
  <si>
    <t>ValBox</t>
  </si>
  <si>
    <t>Praveen Kumar</t>
  </si>
  <si>
    <t>Sripathi</t>
  </si>
  <si>
    <t>Roshan</t>
  </si>
  <si>
    <t>Joetheeswaran</t>
  </si>
  <si>
    <t>Raghul</t>
  </si>
  <si>
    <t>Saradha</t>
  </si>
  <si>
    <t>Kirubesh</t>
  </si>
  <si>
    <t>Deepak</t>
  </si>
  <si>
    <t>Jr.Software Developer</t>
  </si>
  <si>
    <t>Intern</t>
  </si>
  <si>
    <t>CRM Developer</t>
  </si>
  <si>
    <t>MAKO Phase 3</t>
  </si>
  <si>
    <t>Modum</t>
  </si>
  <si>
    <t>FCV</t>
  </si>
  <si>
    <t>Training</t>
  </si>
  <si>
    <t>MAKO - Phase 3</t>
  </si>
  <si>
    <t>Utilized Hours</t>
  </si>
  <si>
    <t>Function</t>
  </si>
  <si>
    <t>Revalix Data</t>
  </si>
  <si>
    <t>Finance</t>
  </si>
  <si>
    <t>Leave/
Permission</t>
  </si>
  <si>
    <t>Athish</t>
  </si>
  <si>
    <t>Joeyln</t>
  </si>
  <si>
    <t>Chandru</t>
  </si>
  <si>
    <t>Sanjay</t>
  </si>
  <si>
    <t>Ananya</t>
  </si>
  <si>
    <t>IBIS World Integration
Plaid integration - In Progress
User journey - In Progress</t>
  </si>
  <si>
    <t>Property data - In Progress</t>
  </si>
  <si>
    <t>Report Features
FCV - Commercial Summary Report
Cost Approach
Revalix - Eval Report
Revalix Data - Batch data integration, Web search - data fields</t>
  </si>
  <si>
    <t>IBIS World integration
Plaid integration</t>
  </si>
  <si>
    <t>Milestone Achieved</t>
  </si>
  <si>
    <t>Planned Activities</t>
  </si>
  <si>
    <t>New UI, Data Integration,AI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</si>
</sst>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1F4E78"/>
      <name val="Arial"/>
      <family val="2"/>
    </font>
    <font>
      <b/>
      <sz val="14"/>
      <color rgb="FF1F4E7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2E5B8A"/>
      </patternFill>
    </fill>
    <fill>
      <patternFill patternType="solid">
        <fgColor rgb="FF2E5B8A"/>
        <bgColor rgb="FF1F4E78"/>
      </patternFill>
    </fill>
    <fill>
      <patternFill patternType="solid">
        <fgColor rgb="FFDCE6F1"/>
        <bgColor rgb="FFD9D9D9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0" fillId="0" borderId="3" xfId="0" applyBorder="1"/>
    <xf numFmtId="0" fontId="8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23">
    <dxf>
      <font>
        <color rgb="FF1F4E78"/>
      </font>
      <fill>
        <patternFill>
          <bgColor rgb="FFDCE6F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78787"/>
      <rgbColor rgb="FF9999FF"/>
      <rgbColor rgb="FFC0504D"/>
      <rgbColor rgb="FFFFFFCC"/>
      <rgbColor rgb="FFDCE6F1"/>
      <rgbColor rgb="FF660066"/>
      <rgbColor rgb="FFFF8080"/>
      <rgbColor rgb="FF2E5B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261-4A34-9EC0-2362B908D20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261-4A34-9EC0-2362B908D20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261-4A34-9EC0-2362B908D20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61-4A34-9EC0-2362B908D20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61-4A34-9EC0-2362B908D20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61-4A34-9EC0-2362B908D2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Dashboard!$A$14:$A$16</c:f>
              <c:strCache>
                <c:ptCount val="3"/>
                <c:pt idx="0">
                  <c:v>On Track</c:v>
                </c:pt>
                <c:pt idx="1">
                  <c:v>At Risk</c:v>
                </c:pt>
                <c:pt idx="2">
                  <c:v>Delayed</c:v>
                </c:pt>
              </c:strCache>
            </c:str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61-4A34-9EC0-2362B908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Open Defects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Dashboard!$D$14:$D$17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Dashboard!$E$14:$E$17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B-441C-BB74-7357B9864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12416"/>
        <c:axId val="35794239"/>
      </c:barChart>
      <c:catAx>
        <c:axId val="4041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794239"/>
        <c:crosses val="autoZero"/>
        <c:auto val="1"/>
        <c:lblAlgn val="ctr"/>
        <c:lblOffset val="100"/>
        <c:noMultiLvlLbl val="0"/>
      </c:catAx>
      <c:valAx>
        <c:axId val="35794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124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SLA Status Breakdown (All Defects)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Dashboard!$G$14:$G$16</c:f>
              <c:strCache>
                <c:ptCount val="3"/>
                <c:pt idx="0">
                  <c:v>Met</c:v>
                </c:pt>
                <c:pt idx="1">
                  <c:v>Within SLA</c:v>
                </c:pt>
                <c:pt idx="2">
                  <c:v>Breached</c:v>
                </c:pt>
              </c:strCache>
            </c:strRef>
          </c:cat>
          <c:val>
            <c:numRef>
              <c:f>Dashboard!$H$14:$H$16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A-44E3-BDB4-73DB7F69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77130"/>
        <c:axId val="47857054"/>
      </c:barChart>
      <c:catAx>
        <c:axId val="39977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857054"/>
        <c:crosses val="autoZero"/>
        <c:auto val="1"/>
        <c:lblAlgn val="ctr"/>
        <c:lblOffset val="100"/>
        <c:noMultiLvlLbl val="0"/>
      </c:catAx>
      <c:valAx>
        <c:axId val="47857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77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4</xdr:col>
      <xdr:colOff>160920</xdr:colOff>
      <xdr:row>33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0</xdr:rowOff>
    </xdr:from>
    <xdr:to>
      <xdr:col>9</xdr:col>
      <xdr:colOff>254520</xdr:colOff>
      <xdr:row>33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160920</xdr:colOff>
      <xdr:row>48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zoomScaleNormal="100" workbookViewId="0">
      <selection activeCell="L7" sqref="L7"/>
    </sheetView>
  </sheetViews>
  <sheetFormatPr defaultColWidth="8.6328125" defaultRowHeight="14.5" x14ac:dyDescent="0.35"/>
  <cols>
    <col min="1" max="1" width="22" customWidth="1"/>
    <col min="2" max="2" width="12" customWidth="1"/>
    <col min="3" max="3" width="3" customWidth="1"/>
    <col min="4" max="4" width="22" customWidth="1"/>
    <col min="5" max="5" width="12" customWidth="1"/>
    <col min="6" max="6" width="3" customWidth="1"/>
    <col min="7" max="7" width="22" customWidth="1"/>
    <col min="8" max="8" width="12" customWidth="1"/>
  </cols>
  <sheetData>
    <row r="1" spans="1:8" ht="25.5" customHeight="1" x14ac:dyDescent="0.35">
      <c r="A1" s="38" t="s">
        <v>0</v>
      </c>
      <c r="B1" s="38"/>
      <c r="C1" s="38"/>
      <c r="D1" s="38"/>
      <c r="E1" s="38"/>
      <c r="F1" s="38"/>
      <c r="G1" s="38"/>
      <c r="H1" s="38"/>
    </row>
    <row r="2" spans="1:8" x14ac:dyDescent="0.35">
      <c r="A2" s="39" t="s">
        <v>1</v>
      </c>
      <c r="B2" s="39"/>
      <c r="C2" s="39"/>
      <c r="D2" s="39"/>
      <c r="E2" s="39"/>
      <c r="F2" s="39"/>
      <c r="G2" s="39"/>
      <c r="H2" s="39"/>
    </row>
    <row r="4" spans="1:8" x14ac:dyDescent="0.35">
      <c r="A4" s="37" t="s">
        <v>2</v>
      </c>
      <c r="B4" s="37"/>
      <c r="D4" s="37" t="s">
        <v>3</v>
      </c>
      <c r="E4" s="37"/>
      <c r="G4" s="37" t="s">
        <v>4</v>
      </c>
      <c r="H4" s="37"/>
    </row>
    <row r="5" spans="1:8" ht="19.5" customHeight="1" x14ac:dyDescent="0.35">
      <c r="A5" s="1" t="s">
        <v>5</v>
      </c>
      <c r="B5" s="2">
        <f>COUNTA('Project Status'!B5:B22)</f>
        <v>3</v>
      </c>
      <c r="D5" s="1" t="s">
        <v>6</v>
      </c>
      <c r="E5" s="2">
        <f>COUNTA('Resource Utilization'!B43:B100)</f>
        <v>18</v>
      </c>
      <c r="G5" s="1" t="s">
        <v>7</v>
      </c>
      <c r="H5" s="2">
        <f>COUNTA('Defect Tracking'!B5:B5)</f>
        <v>1</v>
      </c>
    </row>
    <row r="6" spans="1:8" ht="19.5" customHeight="1" x14ac:dyDescent="0.35">
      <c r="A6" s="1" t="s">
        <v>8</v>
      </c>
      <c r="B6" s="2">
        <f>COUNTIF('Project Status'!L5:L22,"On Track")</f>
        <v>2</v>
      </c>
      <c r="D6" s="1" t="s">
        <v>9</v>
      </c>
      <c r="E6" s="3">
        <f>AVERAGE('Resource Utilization'!D43:D100)</f>
        <v>1</v>
      </c>
      <c r="G6" s="1" t="s">
        <v>10</v>
      </c>
      <c r="H6" s="2">
        <f>COUNTIF('Defect Tracking'!E5:E5,"Open")</f>
        <v>0</v>
      </c>
    </row>
    <row r="7" spans="1:8" ht="19.5" customHeight="1" x14ac:dyDescent="0.35">
      <c r="A7" s="1" t="s">
        <v>11</v>
      </c>
      <c r="B7" s="2">
        <f>COUNTIF('Project Status'!L5:L22,"At Risk")</f>
        <v>0</v>
      </c>
      <c r="D7" s="1" t="s">
        <v>12</v>
      </c>
      <c r="E7" s="4">
        <f>AVERAGE('Resource Utilization'!J43:J100)</f>
        <v>0.54270833333333335</v>
      </c>
      <c r="G7" s="1" t="s">
        <v>13</v>
      </c>
      <c r="H7" s="2">
        <f>COUNTIF('Defect Tracking'!E5:E5,"In Progress")</f>
        <v>0</v>
      </c>
    </row>
    <row r="8" spans="1:8" ht="19.5" customHeight="1" x14ac:dyDescent="0.35">
      <c r="A8" s="1" t="s">
        <v>14</v>
      </c>
      <c r="B8" s="2">
        <v>1</v>
      </c>
      <c r="D8" s="1" t="s">
        <v>15</v>
      </c>
      <c r="E8" s="2">
        <v>148</v>
      </c>
      <c r="G8" s="1" t="s">
        <v>16</v>
      </c>
      <c r="H8" s="2">
        <f>COUNTIF('Defect Tracking'!E5:E5,"Closed")</f>
        <v>1</v>
      </c>
    </row>
    <row r="9" spans="1:8" ht="19.5" customHeight="1" x14ac:dyDescent="0.35">
      <c r="A9" s="1" t="s">
        <v>17</v>
      </c>
      <c r="B9" s="3">
        <f>AVERAGE('Project Status'!G5:G22)</f>
        <v>0.72499999999999998</v>
      </c>
      <c r="D9" s="1" t="s">
        <v>18</v>
      </c>
      <c r="E9" s="2">
        <f>SUM('Resource Utilization'!H5:H16)</f>
        <v>275</v>
      </c>
      <c r="G9" s="1" t="s">
        <v>19</v>
      </c>
      <c r="H9" s="2">
        <f>COUNTIFS('Defect Tracking'!D5:D5,"Critical",'Defect Tracking'!E5:E5,"&lt;&gt;Closed")</f>
        <v>0</v>
      </c>
    </row>
    <row r="10" spans="1:8" ht="19.5" customHeight="1" x14ac:dyDescent="0.35">
      <c r="A10" s="1" t="s">
        <v>20</v>
      </c>
      <c r="B10" s="4">
        <f>(SUM('Project Status'!I5:I22)-SUM('Project Status'!H5:H22))/SUM('Project Status'!H5:H22)</f>
        <v>-0.125</v>
      </c>
      <c r="D10" s="1" t="s">
        <v>21</v>
      </c>
      <c r="E10" s="2">
        <f>COUNTIF('Resource Utilization'!K43:K46,"Over-allocated")</f>
        <v>0</v>
      </c>
      <c r="G10" s="1" t="s">
        <v>22</v>
      </c>
      <c r="H10" s="2">
        <f>COUNTIF('Defect Tracking'!K5:K5,"Breached")</f>
        <v>1</v>
      </c>
    </row>
    <row r="11" spans="1:8" ht="19.5" customHeight="1" x14ac:dyDescent="0.35">
      <c r="D11" s="1" t="s">
        <v>20</v>
      </c>
      <c r="E11" s="4">
        <f>(SUM('Resource Utilization'!I5:I16)-SUM('Resource Utilization'!F5:F16))/SUM('Resource Utilization'!F5:F16)</f>
        <v>-0.67625000000000002</v>
      </c>
      <c r="G11" s="1" t="s">
        <v>23</v>
      </c>
      <c r="H11" s="4">
        <f>(H5-H10)/H5</f>
        <v>0</v>
      </c>
    </row>
    <row r="12" spans="1:8" x14ac:dyDescent="0.35">
      <c r="A12" s="37" t="s">
        <v>24</v>
      </c>
      <c r="B12" s="37"/>
      <c r="C12" s="37"/>
      <c r="D12" s="37"/>
      <c r="E12" s="37"/>
      <c r="F12" s="37"/>
      <c r="G12" s="37"/>
      <c r="H12" s="37"/>
    </row>
    <row r="13" spans="1:8" x14ac:dyDescent="0.35">
      <c r="A13" s="5" t="s">
        <v>25</v>
      </c>
      <c r="D13" s="5" t="s">
        <v>26</v>
      </c>
      <c r="G13" s="5" t="s">
        <v>27</v>
      </c>
    </row>
    <row r="14" spans="1:8" x14ac:dyDescent="0.35">
      <c r="A14" s="6" t="s">
        <v>8</v>
      </c>
      <c r="B14" s="7">
        <f>COUNTIF('Project Status'!H5:H5,"On Track")</f>
        <v>0</v>
      </c>
      <c r="D14" s="6" t="s">
        <v>28</v>
      </c>
      <c r="E14" s="7">
        <f>COUNTIFS('Defect Tracking'!D5:D5,"Critical",'Defect Tracking'!E5:E5,"&lt;&gt;Closed")</f>
        <v>0</v>
      </c>
      <c r="G14" s="6" t="s">
        <v>29</v>
      </c>
      <c r="H14" s="7">
        <f>COUNTIF('Defect Tracking'!K5:K5,"Met")</f>
        <v>0</v>
      </c>
    </row>
    <row r="15" spans="1:8" x14ac:dyDescent="0.35">
      <c r="A15" s="6" t="s">
        <v>11</v>
      </c>
      <c r="B15" s="7">
        <f>COUNTIF('Project Status'!H5:H5,"At Risk")</f>
        <v>0</v>
      </c>
      <c r="D15" s="6" t="s">
        <v>30</v>
      </c>
      <c r="E15" s="7">
        <f>COUNTIFS('Defect Tracking'!D5:D5,"High",'Defect Tracking'!E5:E5,"&lt;&gt;Closed")</f>
        <v>0</v>
      </c>
      <c r="G15" s="6" t="s">
        <v>31</v>
      </c>
      <c r="H15" s="7">
        <f>COUNTIF('Defect Tracking'!K5:K5,"Within SLA")</f>
        <v>0</v>
      </c>
    </row>
    <row r="16" spans="1:8" x14ac:dyDescent="0.35">
      <c r="A16" s="6" t="s">
        <v>14</v>
      </c>
      <c r="B16" s="7">
        <f>COUNTIF('Project Status'!H5:H5,"Delayed")</f>
        <v>0</v>
      </c>
      <c r="D16" s="6" t="s">
        <v>32</v>
      </c>
      <c r="E16" s="7">
        <f>COUNTIFS('Defect Tracking'!D5:D5,"Medium",'Defect Tracking'!E5:E5,"&lt;&gt;Closed")</f>
        <v>0</v>
      </c>
      <c r="G16" s="6" t="s">
        <v>33</v>
      </c>
      <c r="H16" s="7">
        <f>COUNTIF('Defect Tracking'!K5:K5,"Breached")</f>
        <v>1</v>
      </c>
    </row>
    <row r="17" spans="1:8" x14ac:dyDescent="0.35">
      <c r="A17" s="8"/>
      <c r="B17" s="7"/>
      <c r="D17" s="6" t="s">
        <v>34</v>
      </c>
      <c r="E17" s="7">
        <f>COUNTIFS('Defect Tracking'!D5:D5,"Low",'Defect Tracking'!E5:E5,"&lt;&gt;Closed")</f>
        <v>0</v>
      </c>
      <c r="G17" s="8"/>
      <c r="H17" s="7"/>
    </row>
  </sheetData>
  <mergeCells count="6">
    <mergeCell ref="A12:H12"/>
    <mergeCell ref="A1:H1"/>
    <mergeCell ref="A2:H2"/>
    <mergeCell ref="A4:B4"/>
    <mergeCell ref="D4:E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opLeftCell="E1" zoomScaleNormal="100" workbookViewId="0">
      <pane ySplit="4" topLeftCell="A5" activePane="bottomLeft" state="frozen"/>
      <selection pane="bottomLeft" activeCell="M6" sqref="M6"/>
    </sheetView>
  </sheetViews>
  <sheetFormatPr defaultColWidth="8.6328125" defaultRowHeight="14.5" x14ac:dyDescent="0.35"/>
  <cols>
    <col min="1" max="1" width="6" customWidth="1"/>
    <col min="2" max="2" width="28" customWidth="1"/>
    <col min="3" max="3" width="16" customWidth="1"/>
    <col min="4" max="4" width="37.54296875" customWidth="1"/>
    <col min="5" max="5" width="14" customWidth="1"/>
    <col min="6" max="6" width="16" customWidth="1"/>
    <col min="7" max="7" width="12" customWidth="1"/>
    <col min="8" max="10" width="13" customWidth="1"/>
    <col min="11" max="11" width="11" customWidth="1"/>
    <col min="12" max="12" width="13" customWidth="1"/>
    <col min="13" max="14" width="26" customWidth="1"/>
  </cols>
  <sheetData>
    <row r="1" spans="1:14" ht="21.75" customHeight="1" x14ac:dyDescent="0.35">
      <c r="A1" s="38" t="s">
        <v>35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3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4" spans="1:14" ht="26" x14ac:dyDescent="0.35">
      <c r="A4" s="24" t="s">
        <v>36</v>
      </c>
      <c r="B4" s="24" t="s">
        <v>37</v>
      </c>
      <c r="C4" s="24" t="s">
        <v>38</v>
      </c>
      <c r="D4" s="24" t="s">
        <v>121</v>
      </c>
      <c r="E4" s="24" t="s">
        <v>39</v>
      </c>
      <c r="F4" s="24" t="s">
        <v>40</v>
      </c>
      <c r="G4" s="24" t="s">
        <v>41</v>
      </c>
      <c r="H4" s="24" t="s">
        <v>42</v>
      </c>
      <c r="I4" s="24" t="s">
        <v>106</v>
      </c>
      <c r="J4" s="24" t="s">
        <v>44</v>
      </c>
      <c r="K4" s="24" t="s">
        <v>45</v>
      </c>
      <c r="L4" s="24" t="s">
        <v>46</v>
      </c>
      <c r="M4" s="24" t="s">
        <v>120</v>
      </c>
      <c r="N4" s="24" t="s">
        <v>47</v>
      </c>
    </row>
    <row r="5" spans="1:14" ht="37.5" x14ac:dyDescent="0.35">
      <c r="A5" s="28">
        <v>1</v>
      </c>
      <c r="B5" s="28" t="s">
        <v>105</v>
      </c>
      <c r="C5" s="28" t="s">
        <v>84</v>
      </c>
      <c r="D5" s="35" t="s">
        <v>119</v>
      </c>
      <c r="E5" s="29">
        <v>46235</v>
      </c>
      <c r="F5" s="29">
        <v>46265</v>
      </c>
      <c r="G5" s="30">
        <v>0.75</v>
      </c>
      <c r="H5" s="31">
        <v>160</v>
      </c>
      <c r="I5" s="31">
        <v>140</v>
      </c>
      <c r="J5" s="31">
        <f>I5-H5</f>
        <v>-20</v>
      </c>
      <c r="K5" s="32">
        <f>IF(H5=0,"",J5/H5)</f>
        <v>-0.125</v>
      </c>
      <c r="L5" s="28" t="s">
        <v>8</v>
      </c>
      <c r="M5" s="35" t="s">
        <v>116</v>
      </c>
      <c r="N5" s="28" t="s">
        <v>49</v>
      </c>
    </row>
    <row r="6" spans="1:14" ht="116" x14ac:dyDescent="0.35">
      <c r="A6" s="28">
        <v>2</v>
      </c>
      <c r="B6" s="28" t="s">
        <v>85</v>
      </c>
      <c r="C6" s="28" t="s">
        <v>84</v>
      </c>
      <c r="D6" s="35" t="s">
        <v>118</v>
      </c>
      <c r="E6" s="29">
        <v>46235</v>
      </c>
      <c r="F6" s="29">
        <v>46265</v>
      </c>
      <c r="G6" s="30">
        <v>0.7</v>
      </c>
      <c r="H6" s="33"/>
      <c r="I6" s="33"/>
      <c r="J6" s="33"/>
      <c r="K6" s="33"/>
      <c r="L6" s="28" t="s">
        <v>14</v>
      </c>
      <c r="M6" s="36" t="s">
        <v>118</v>
      </c>
      <c r="N6" s="28" t="s">
        <v>49</v>
      </c>
    </row>
    <row r="7" spans="1:14" x14ac:dyDescent="0.35">
      <c r="A7" s="28">
        <v>3</v>
      </c>
      <c r="B7" s="28" t="s">
        <v>86</v>
      </c>
      <c r="C7" s="28" t="s">
        <v>84</v>
      </c>
      <c r="D7" s="28" t="s">
        <v>122</v>
      </c>
      <c r="E7" s="29">
        <v>46258</v>
      </c>
      <c r="F7" s="29">
        <v>46265</v>
      </c>
      <c r="G7" s="30"/>
      <c r="H7" s="33"/>
      <c r="I7" s="33"/>
      <c r="J7" s="33"/>
      <c r="K7" s="33"/>
      <c r="L7" s="28" t="s">
        <v>8</v>
      </c>
      <c r="M7" s="33" t="s">
        <v>117</v>
      </c>
      <c r="N7" s="28" t="s">
        <v>49</v>
      </c>
    </row>
    <row r="8" spans="1:14" x14ac:dyDescent="0.35">
      <c r="A8" s="28"/>
      <c r="B8" s="28"/>
      <c r="C8" s="28"/>
      <c r="D8" s="28"/>
      <c r="E8" s="29"/>
      <c r="F8" s="29"/>
      <c r="G8" s="30"/>
      <c r="H8" s="33"/>
      <c r="I8" s="33"/>
      <c r="J8" s="33"/>
      <c r="K8" s="33"/>
      <c r="L8" s="33"/>
      <c r="M8" s="33"/>
      <c r="N8" s="28" t="s">
        <v>49</v>
      </c>
    </row>
    <row r="9" spans="1:14" x14ac:dyDescent="0.35">
      <c r="A9" s="28"/>
      <c r="B9" s="28"/>
      <c r="C9" s="28"/>
      <c r="D9" s="28"/>
      <c r="E9" s="29"/>
      <c r="F9" s="29"/>
      <c r="G9" s="30"/>
      <c r="H9" s="33"/>
      <c r="I9" s="33"/>
      <c r="J9" s="33"/>
      <c r="K9" s="33"/>
      <c r="L9" s="33"/>
      <c r="M9" s="33"/>
      <c r="N9" s="33"/>
    </row>
    <row r="10" spans="1:14" x14ac:dyDescent="0.35">
      <c r="A10" s="28"/>
      <c r="B10" s="28"/>
      <c r="C10" s="28"/>
      <c r="D10" s="28"/>
      <c r="E10" s="29"/>
      <c r="F10" s="29"/>
      <c r="G10" s="30"/>
      <c r="H10" s="33"/>
      <c r="I10" s="33"/>
      <c r="J10" s="33"/>
      <c r="K10" s="33"/>
      <c r="L10" s="33"/>
      <c r="M10" s="33"/>
      <c r="N10" s="33"/>
    </row>
    <row r="11" spans="1:14" x14ac:dyDescent="0.35">
      <c r="A11" s="28"/>
      <c r="B11" s="28"/>
      <c r="C11" s="28"/>
      <c r="D11" s="28"/>
      <c r="E11" s="29"/>
      <c r="F11" s="29"/>
      <c r="G11" s="30"/>
      <c r="H11" s="33"/>
      <c r="I11" s="33"/>
      <c r="J11" s="33"/>
      <c r="K11" s="33"/>
      <c r="L11" s="33"/>
      <c r="M11" s="33"/>
      <c r="N11" s="33"/>
    </row>
    <row r="12" spans="1:14" x14ac:dyDescent="0.35">
      <c r="A12" s="28"/>
      <c r="B12" s="28"/>
      <c r="C12" s="28"/>
      <c r="D12" s="28"/>
      <c r="E12" s="29"/>
      <c r="F12" s="29"/>
      <c r="G12" s="30"/>
      <c r="H12" s="33"/>
      <c r="I12" s="33"/>
      <c r="J12" s="33"/>
      <c r="K12" s="33"/>
      <c r="L12" s="33"/>
      <c r="M12" s="33"/>
      <c r="N12" s="33"/>
    </row>
    <row r="13" spans="1:14" x14ac:dyDescent="0.35">
      <c r="A13" s="28"/>
      <c r="B13" s="28"/>
      <c r="C13" s="28"/>
      <c r="D13" s="28"/>
      <c r="E13" s="29"/>
      <c r="F13" s="29"/>
      <c r="G13" s="30"/>
      <c r="H13" s="33"/>
      <c r="I13" s="33"/>
      <c r="J13" s="33"/>
      <c r="K13" s="33"/>
      <c r="L13" s="33"/>
      <c r="M13" s="33"/>
      <c r="N13" s="33"/>
    </row>
    <row r="14" spans="1:14" x14ac:dyDescent="0.35">
      <c r="A14" s="28"/>
      <c r="B14" s="28"/>
      <c r="C14" s="28"/>
      <c r="D14" s="28"/>
      <c r="E14" s="29"/>
      <c r="F14" s="29"/>
      <c r="G14" s="30"/>
      <c r="H14" s="33"/>
      <c r="I14" s="33"/>
      <c r="J14" s="33"/>
      <c r="K14" s="33"/>
      <c r="L14" s="33"/>
      <c r="M14" s="33"/>
      <c r="N14" s="33"/>
    </row>
    <row r="15" spans="1:14" x14ac:dyDescent="0.35">
      <c r="A15" s="28"/>
      <c r="B15" s="28"/>
      <c r="C15" s="28"/>
      <c r="D15" s="28"/>
      <c r="E15" s="29"/>
      <c r="F15" s="29"/>
      <c r="G15" s="30"/>
      <c r="H15" s="33"/>
      <c r="I15" s="33"/>
      <c r="J15" s="33"/>
      <c r="K15" s="33"/>
      <c r="L15" s="33"/>
      <c r="M15" s="33"/>
      <c r="N15" s="33"/>
    </row>
    <row r="16" spans="1:14" x14ac:dyDescent="0.35">
      <c r="A16" s="28"/>
      <c r="B16" s="28"/>
      <c r="C16" s="28"/>
      <c r="D16" s="28"/>
      <c r="E16" s="29"/>
      <c r="F16" s="29"/>
      <c r="G16" s="30"/>
      <c r="H16" s="33"/>
      <c r="I16" s="33"/>
      <c r="J16" s="33"/>
      <c r="K16" s="33"/>
      <c r="L16" s="33"/>
      <c r="M16" s="33"/>
      <c r="N16" s="33"/>
    </row>
    <row r="17" spans="1:14" x14ac:dyDescent="0.35">
      <c r="A17" s="28"/>
      <c r="B17" s="28"/>
      <c r="C17" s="28"/>
      <c r="D17" s="28"/>
      <c r="E17" s="29"/>
      <c r="F17" s="29"/>
      <c r="G17" s="30"/>
      <c r="H17" s="33"/>
      <c r="I17" s="33"/>
      <c r="J17" s="33"/>
      <c r="K17" s="33"/>
      <c r="L17" s="33"/>
      <c r="M17" s="33"/>
      <c r="N17" s="33"/>
    </row>
    <row r="18" spans="1:14" x14ac:dyDescent="0.35">
      <c r="A18" s="28"/>
      <c r="B18" s="28"/>
      <c r="C18" s="28"/>
      <c r="D18" s="28"/>
      <c r="E18" s="29"/>
      <c r="F18" s="29"/>
      <c r="G18" s="30"/>
      <c r="H18" s="33"/>
      <c r="I18" s="33"/>
      <c r="J18" s="33"/>
      <c r="K18" s="33"/>
      <c r="L18" s="33"/>
      <c r="M18" s="33"/>
      <c r="N18" s="33"/>
    </row>
    <row r="19" spans="1:14" x14ac:dyDescent="0.35">
      <c r="A19" s="28"/>
      <c r="B19" s="28"/>
      <c r="C19" s="28"/>
      <c r="D19" s="28"/>
      <c r="E19" s="29"/>
      <c r="F19" s="29"/>
      <c r="G19" s="30"/>
      <c r="H19" s="33"/>
      <c r="I19" s="33"/>
      <c r="J19" s="33"/>
      <c r="K19" s="33"/>
      <c r="L19" s="33"/>
      <c r="M19" s="33"/>
      <c r="N19" s="33"/>
    </row>
    <row r="20" spans="1:14" x14ac:dyDescent="0.35">
      <c r="A20" s="25"/>
      <c r="B20" s="25"/>
      <c r="C20" s="25"/>
      <c r="D20" s="25"/>
      <c r="E20" s="26"/>
      <c r="F20" s="26"/>
      <c r="G20" s="27"/>
    </row>
  </sheetData>
  <mergeCells count="2">
    <mergeCell ref="A1:N1"/>
    <mergeCell ref="A2:N2"/>
  </mergeCells>
  <conditionalFormatting sqref="K5">
    <cfRule type="cellIs" dxfId="22" priority="2" operator="lessThanOrEqual">
      <formula>0</formula>
    </cfRule>
    <cfRule type="cellIs" dxfId="21" priority="3" operator="between">
      <formula>0.0001</formula>
      <formula>0.0999</formula>
    </cfRule>
    <cfRule type="cellIs" dxfId="20" priority="4" operator="greaterThanOrEqual">
      <formula>0.1</formula>
    </cfRule>
  </conditionalFormatting>
  <conditionalFormatting sqref="L5:L7">
    <cfRule type="cellIs" dxfId="19" priority="5" operator="equal">
      <formula>"On Track"</formula>
    </cfRule>
    <cfRule type="cellIs" dxfId="18" priority="6" operator="equal">
      <formula>"At Risk"</formula>
    </cfRule>
    <cfRule type="cellIs" dxfId="17" priority="7" operator="equal">
      <formula>"Delayed"</formula>
    </cfRule>
  </conditionalFormatting>
  <dataValidations count="1">
    <dataValidation type="list" allowBlank="1" sqref="L5:L190" xr:uid="{00000000-0002-0000-0100-000000000000}">
      <formula1>"On Track,At Risk,Delayed"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0"/>
  <sheetViews>
    <sheetView zoomScaleNormal="100" workbookViewId="0">
      <pane ySplit="4" topLeftCell="A41" activePane="bottomLeft" state="frozen"/>
      <selection pane="bottomLeft" activeCell="C52" sqref="C52"/>
    </sheetView>
  </sheetViews>
  <sheetFormatPr defaultColWidth="8.6328125" defaultRowHeight="14.5" x14ac:dyDescent="0.35"/>
  <cols>
    <col min="1" max="1" width="12.54296875" bestFit="1" customWidth="1"/>
    <col min="2" max="2" width="21.08984375" customWidth="1"/>
    <col min="3" max="3" width="19.1796875" bestFit="1" customWidth="1"/>
    <col min="4" max="4" width="26" customWidth="1"/>
    <col min="5" max="5" width="12" customWidth="1"/>
    <col min="6" max="7" width="13" customWidth="1"/>
    <col min="8" max="8" width="15" customWidth="1"/>
    <col min="9" max="9" width="12" customWidth="1"/>
    <col min="10" max="10" width="13" customWidth="1"/>
    <col min="11" max="11" width="13.81640625" bestFit="1" customWidth="1"/>
    <col min="12" max="12" width="12.453125" customWidth="1"/>
  </cols>
  <sheetData>
    <row r="1" spans="1:14" ht="21.75" customHeight="1" x14ac:dyDescent="0.35">
      <c r="A1" s="38" t="s">
        <v>50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4" x14ac:dyDescent="0.35">
      <c r="A2" s="39" t="s">
        <v>51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4" x14ac:dyDescent="0.35">
      <c r="N3">
        <v>160</v>
      </c>
    </row>
    <row r="4" spans="1:14" ht="26" x14ac:dyDescent="0.35">
      <c r="A4" s="9" t="s">
        <v>36</v>
      </c>
      <c r="B4" s="9" t="s">
        <v>52</v>
      </c>
      <c r="C4" s="9" t="s">
        <v>53</v>
      </c>
      <c r="D4" s="9" t="s">
        <v>54</v>
      </c>
      <c r="E4" s="9" t="s">
        <v>55</v>
      </c>
      <c r="F4" s="9" t="s">
        <v>42</v>
      </c>
      <c r="G4" s="9" t="s">
        <v>56</v>
      </c>
      <c r="H4" s="9" t="s">
        <v>57</v>
      </c>
      <c r="I4" s="9" t="s">
        <v>43</v>
      </c>
      <c r="J4" s="9" t="s">
        <v>44</v>
      </c>
      <c r="K4" s="9" t="s">
        <v>45</v>
      </c>
      <c r="L4" s="34" t="s">
        <v>110</v>
      </c>
      <c r="M4" s="34" t="s">
        <v>107</v>
      </c>
      <c r="N4">
        <f>E5*N3</f>
        <v>16</v>
      </c>
    </row>
    <row r="5" spans="1:14" x14ac:dyDescent="0.35">
      <c r="A5" s="10">
        <v>1</v>
      </c>
      <c r="B5" s="11" t="s">
        <v>84</v>
      </c>
      <c r="C5" s="11" t="s">
        <v>38</v>
      </c>
      <c r="D5" s="11" t="s">
        <v>85</v>
      </c>
      <c r="E5" s="13">
        <v>0.1</v>
      </c>
      <c r="F5" s="11">
        <f>E5*N3</f>
        <v>16</v>
      </c>
      <c r="G5" s="11"/>
      <c r="H5" s="11">
        <v>16</v>
      </c>
      <c r="I5" s="14">
        <f>G5+H5</f>
        <v>16</v>
      </c>
      <c r="J5" s="14">
        <f>F5-I5</f>
        <v>0</v>
      </c>
      <c r="K5" s="15">
        <f t="shared" ref="K5:K22" si="0">IF(F5=0,"",J5/F5)</f>
        <v>0</v>
      </c>
    </row>
    <row r="6" spans="1:14" x14ac:dyDescent="0.35">
      <c r="A6" s="10">
        <v>2</v>
      </c>
      <c r="B6" s="11" t="s">
        <v>84</v>
      </c>
      <c r="C6" s="11" t="s">
        <v>38</v>
      </c>
      <c r="D6" s="11" t="s">
        <v>86</v>
      </c>
      <c r="E6" s="13">
        <v>0.3</v>
      </c>
      <c r="F6" s="11">
        <f>E6*N3</f>
        <v>48</v>
      </c>
      <c r="G6" s="11"/>
      <c r="H6" s="11">
        <v>48</v>
      </c>
      <c r="I6" s="14">
        <f t="shared" ref="I6:I34" si="1">G6+H6</f>
        <v>48</v>
      </c>
      <c r="J6" s="14">
        <f t="shared" ref="J6:J34" si="2">F6-I6</f>
        <v>0</v>
      </c>
      <c r="K6" s="15">
        <f t="shared" si="0"/>
        <v>0</v>
      </c>
    </row>
    <row r="7" spans="1:14" x14ac:dyDescent="0.35">
      <c r="A7" s="10">
        <v>3</v>
      </c>
      <c r="B7" s="11" t="s">
        <v>84</v>
      </c>
      <c r="C7" s="11" t="s">
        <v>38</v>
      </c>
      <c r="D7" s="11" t="s">
        <v>87</v>
      </c>
      <c r="E7" s="13">
        <v>0.4</v>
      </c>
      <c r="F7" s="11">
        <f>E7*N3</f>
        <v>64</v>
      </c>
      <c r="G7" s="11"/>
      <c r="H7" s="11">
        <v>64</v>
      </c>
      <c r="I7" s="14">
        <f t="shared" si="1"/>
        <v>64</v>
      </c>
      <c r="J7" s="14">
        <f t="shared" si="2"/>
        <v>0</v>
      </c>
      <c r="K7" s="15"/>
    </row>
    <row r="8" spans="1:14" x14ac:dyDescent="0.35">
      <c r="A8" s="10">
        <v>4</v>
      </c>
      <c r="B8" s="11" t="s">
        <v>84</v>
      </c>
      <c r="C8" s="11" t="s">
        <v>38</v>
      </c>
      <c r="D8" s="11" t="s">
        <v>88</v>
      </c>
      <c r="E8" s="13">
        <v>0.1</v>
      </c>
      <c r="F8" s="11">
        <f>E8*N3</f>
        <v>16</v>
      </c>
      <c r="G8" s="11"/>
      <c r="H8" s="11">
        <v>16</v>
      </c>
      <c r="I8" s="14">
        <f t="shared" si="1"/>
        <v>16</v>
      </c>
      <c r="J8" s="14">
        <f t="shared" si="2"/>
        <v>0</v>
      </c>
      <c r="K8" s="15">
        <f t="shared" si="0"/>
        <v>0</v>
      </c>
    </row>
    <row r="9" spans="1:14" x14ac:dyDescent="0.35">
      <c r="A9" s="10">
        <v>4</v>
      </c>
      <c r="B9" s="11" t="s">
        <v>84</v>
      </c>
      <c r="C9" s="11" t="s">
        <v>38</v>
      </c>
      <c r="D9" s="11" t="s">
        <v>89</v>
      </c>
      <c r="E9" s="13">
        <v>0.1</v>
      </c>
      <c r="F9" s="11">
        <f>E9*N3</f>
        <v>16</v>
      </c>
      <c r="G9" s="11"/>
      <c r="H9" s="11">
        <v>16</v>
      </c>
      <c r="I9" s="14"/>
      <c r="J9" s="14"/>
      <c r="K9" s="15"/>
    </row>
    <row r="10" spans="1:14" x14ac:dyDescent="0.35">
      <c r="A10" s="10">
        <v>5</v>
      </c>
      <c r="B10" s="11" t="s">
        <v>58</v>
      </c>
      <c r="C10" s="11" t="s">
        <v>61</v>
      </c>
      <c r="D10" s="11" t="s">
        <v>85</v>
      </c>
      <c r="E10" s="13">
        <v>0.7</v>
      </c>
      <c r="F10" s="11">
        <f>E10*N3</f>
        <v>112</v>
      </c>
      <c r="G10" s="11"/>
      <c r="H10" s="11">
        <v>29</v>
      </c>
      <c r="I10" s="14">
        <f t="shared" si="1"/>
        <v>29</v>
      </c>
      <c r="J10" s="14">
        <f t="shared" si="2"/>
        <v>83</v>
      </c>
      <c r="K10" s="15">
        <f t="shared" si="0"/>
        <v>0.7410714285714286</v>
      </c>
      <c r="L10">
        <v>8</v>
      </c>
      <c r="M10">
        <v>3</v>
      </c>
    </row>
    <row r="11" spans="1:14" x14ac:dyDescent="0.35">
      <c r="A11" s="10"/>
      <c r="B11" s="11" t="s">
        <v>58</v>
      </c>
      <c r="C11" s="11" t="s">
        <v>61</v>
      </c>
      <c r="D11" s="11" t="s">
        <v>86</v>
      </c>
      <c r="E11" s="13">
        <v>0.3</v>
      </c>
      <c r="F11" s="11">
        <f>E11*N3</f>
        <v>48</v>
      </c>
      <c r="G11" s="11"/>
      <c r="H11" s="11"/>
      <c r="I11" s="14"/>
      <c r="J11" s="14"/>
      <c r="K11" s="15"/>
    </row>
    <row r="12" spans="1:14" x14ac:dyDescent="0.35">
      <c r="A12" s="10">
        <v>6</v>
      </c>
      <c r="B12" s="11" t="s">
        <v>59</v>
      </c>
      <c r="C12" s="11" t="s">
        <v>61</v>
      </c>
      <c r="D12" s="11" t="s">
        <v>85</v>
      </c>
      <c r="E12" s="13">
        <v>0.7</v>
      </c>
      <c r="F12" s="11">
        <f>E12*N3</f>
        <v>112</v>
      </c>
      <c r="G12" s="11"/>
      <c r="H12" s="11">
        <v>7</v>
      </c>
      <c r="I12" s="14">
        <f t="shared" si="1"/>
        <v>7</v>
      </c>
      <c r="J12" s="14">
        <f t="shared" si="2"/>
        <v>105</v>
      </c>
      <c r="K12" s="15">
        <f t="shared" si="0"/>
        <v>0.9375</v>
      </c>
      <c r="L12">
        <v>8</v>
      </c>
      <c r="M12">
        <v>5</v>
      </c>
    </row>
    <row r="13" spans="1:14" x14ac:dyDescent="0.35">
      <c r="A13" s="10">
        <v>7</v>
      </c>
      <c r="B13" s="11" t="s">
        <v>59</v>
      </c>
      <c r="C13" s="11" t="s">
        <v>61</v>
      </c>
      <c r="D13" s="11" t="s">
        <v>86</v>
      </c>
      <c r="E13" s="13">
        <v>0.2</v>
      </c>
      <c r="F13" s="11">
        <f>E13*N3</f>
        <v>32</v>
      </c>
      <c r="G13" s="11"/>
      <c r="H13" s="11">
        <v>18</v>
      </c>
      <c r="I13" s="14">
        <f t="shared" si="1"/>
        <v>18</v>
      </c>
      <c r="J13" s="14">
        <f t="shared" si="2"/>
        <v>14</v>
      </c>
      <c r="K13" s="15"/>
    </row>
    <row r="14" spans="1:14" x14ac:dyDescent="0.35">
      <c r="A14" s="10">
        <v>8</v>
      </c>
      <c r="B14" s="11" t="s">
        <v>59</v>
      </c>
      <c r="C14" s="11" t="s">
        <v>61</v>
      </c>
      <c r="D14" s="11" t="s">
        <v>104</v>
      </c>
      <c r="E14" s="13">
        <v>0.1</v>
      </c>
      <c r="F14" s="11">
        <f>E14*N3</f>
        <v>16</v>
      </c>
      <c r="G14" s="11"/>
      <c r="H14" s="11">
        <v>2</v>
      </c>
      <c r="I14" s="14">
        <f t="shared" ref="I14" si="3">G14+H14</f>
        <v>2</v>
      </c>
      <c r="J14" s="14">
        <f t="shared" ref="J14" si="4">F14-I14</f>
        <v>14</v>
      </c>
      <c r="K14" s="15"/>
    </row>
    <row r="15" spans="1:14" x14ac:dyDescent="0.35">
      <c r="A15" s="10">
        <v>9</v>
      </c>
      <c r="B15" s="11" t="s">
        <v>60</v>
      </c>
      <c r="C15" s="11" t="s">
        <v>98</v>
      </c>
      <c r="D15" s="11" t="s">
        <v>85</v>
      </c>
      <c r="E15" s="13">
        <v>1</v>
      </c>
      <c r="F15" s="11">
        <f>E15*N3</f>
        <v>160</v>
      </c>
      <c r="G15" s="11"/>
      <c r="H15" s="11">
        <v>30</v>
      </c>
      <c r="I15" s="14">
        <f t="shared" si="1"/>
        <v>30</v>
      </c>
      <c r="J15" s="14">
        <f t="shared" si="2"/>
        <v>130</v>
      </c>
      <c r="K15" s="15">
        <f t="shared" si="0"/>
        <v>0.8125</v>
      </c>
      <c r="M15">
        <v>8</v>
      </c>
    </row>
    <row r="16" spans="1:14" x14ac:dyDescent="0.35">
      <c r="A16" s="10">
        <v>10</v>
      </c>
      <c r="B16" s="11" t="s">
        <v>62</v>
      </c>
      <c r="C16" s="11" t="s">
        <v>98</v>
      </c>
      <c r="D16" s="11" t="s">
        <v>85</v>
      </c>
      <c r="E16" s="13">
        <v>1</v>
      </c>
      <c r="F16" s="11">
        <f>E16*N3</f>
        <v>160</v>
      </c>
      <c r="G16" s="11"/>
      <c r="H16" s="11">
        <v>29</v>
      </c>
      <c r="I16" s="14">
        <f t="shared" si="1"/>
        <v>29</v>
      </c>
      <c r="J16" s="14">
        <f t="shared" si="2"/>
        <v>131</v>
      </c>
      <c r="K16" s="15">
        <f t="shared" si="0"/>
        <v>0.81874999999999998</v>
      </c>
      <c r="L16">
        <v>8</v>
      </c>
      <c r="M16">
        <v>3</v>
      </c>
    </row>
    <row r="17" spans="1:13" x14ac:dyDescent="0.35">
      <c r="A17" s="10">
        <v>11</v>
      </c>
      <c r="B17" s="19" t="s">
        <v>91</v>
      </c>
      <c r="C17" s="11" t="s">
        <v>98</v>
      </c>
      <c r="D17" s="19" t="s">
        <v>108</v>
      </c>
      <c r="E17" s="20">
        <v>0.95</v>
      </c>
      <c r="F17" s="11">
        <f>E17*N3</f>
        <v>152</v>
      </c>
      <c r="G17" s="19"/>
      <c r="H17" s="19">
        <v>18</v>
      </c>
      <c r="I17" s="14">
        <f t="shared" si="1"/>
        <v>18</v>
      </c>
      <c r="J17" s="14">
        <f t="shared" si="2"/>
        <v>134</v>
      </c>
      <c r="K17" s="15">
        <f t="shared" si="0"/>
        <v>0.88157894736842102</v>
      </c>
      <c r="M17">
        <v>5</v>
      </c>
    </row>
    <row r="18" spans="1:13" x14ac:dyDescent="0.35">
      <c r="A18" s="10">
        <v>12</v>
      </c>
      <c r="B18" s="19" t="s">
        <v>91</v>
      </c>
      <c r="C18" s="11" t="s">
        <v>98</v>
      </c>
      <c r="D18" s="19" t="s">
        <v>86</v>
      </c>
      <c r="E18" s="20">
        <v>0.05</v>
      </c>
      <c r="F18" s="11">
        <f>E18*N3</f>
        <v>8</v>
      </c>
      <c r="G18" s="19"/>
      <c r="H18" s="19">
        <v>16</v>
      </c>
      <c r="I18" s="14">
        <f t="shared" ref="I18" si="5">G18+H18</f>
        <v>16</v>
      </c>
      <c r="J18" s="14">
        <f t="shared" ref="J18" si="6">F18-I18</f>
        <v>-8</v>
      </c>
      <c r="K18" s="15">
        <f t="shared" ref="K18" si="7">IF(F18=0,"",J18/F18)</f>
        <v>-1</v>
      </c>
    </row>
    <row r="19" spans="1:13" x14ac:dyDescent="0.35">
      <c r="A19" s="10">
        <v>13</v>
      </c>
      <c r="B19" s="19" t="s">
        <v>92</v>
      </c>
      <c r="C19" s="11" t="s">
        <v>98</v>
      </c>
      <c r="D19" s="19" t="s">
        <v>86</v>
      </c>
      <c r="E19" s="20">
        <v>0.05</v>
      </c>
      <c r="F19" s="11">
        <f>E19*N3</f>
        <v>8</v>
      </c>
      <c r="G19" s="19"/>
      <c r="H19" s="19">
        <v>16</v>
      </c>
      <c r="I19" s="14">
        <f>G19+H19</f>
        <v>16</v>
      </c>
      <c r="J19" s="14">
        <f t="shared" si="2"/>
        <v>-8</v>
      </c>
      <c r="K19" s="15">
        <f t="shared" si="0"/>
        <v>-1</v>
      </c>
      <c r="L19">
        <v>8</v>
      </c>
      <c r="M19">
        <v>7</v>
      </c>
    </row>
    <row r="20" spans="1:13" x14ac:dyDescent="0.35">
      <c r="A20" s="10">
        <v>14</v>
      </c>
      <c r="B20" s="19" t="s">
        <v>92</v>
      </c>
      <c r="C20" s="11" t="s">
        <v>98</v>
      </c>
      <c r="D20" s="19" t="s">
        <v>109</v>
      </c>
      <c r="E20" s="20">
        <v>0.05</v>
      </c>
      <c r="F20" s="11">
        <f>E20*N3</f>
        <v>8</v>
      </c>
      <c r="G20" s="19"/>
      <c r="H20" s="19">
        <v>9</v>
      </c>
      <c r="I20" s="14">
        <f>G20+H20</f>
        <v>9</v>
      </c>
      <c r="J20" s="14">
        <f t="shared" ref="J20" si="8">F20-I20</f>
        <v>-1</v>
      </c>
      <c r="K20" s="15">
        <f t="shared" ref="K20" si="9">IF(F20=0,"",J20/F20)</f>
        <v>-0.125</v>
      </c>
    </row>
    <row r="21" spans="1:13" x14ac:dyDescent="0.35">
      <c r="A21" s="10"/>
      <c r="B21" s="19" t="s">
        <v>92</v>
      </c>
      <c r="C21" s="11" t="s">
        <v>98</v>
      </c>
      <c r="D21" s="19" t="s">
        <v>108</v>
      </c>
      <c r="E21" s="20">
        <v>0.9</v>
      </c>
      <c r="F21" s="11">
        <f>E21*N3</f>
        <v>144</v>
      </c>
      <c r="G21" s="19"/>
      <c r="H21" s="19"/>
      <c r="I21" s="14"/>
      <c r="J21" s="14"/>
      <c r="K21" s="15"/>
    </row>
    <row r="22" spans="1:13" x14ac:dyDescent="0.35">
      <c r="A22" s="10">
        <v>15</v>
      </c>
      <c r="B22" s="19" t="s">
        <v>93</v>
      </c>
      <c r="C22" s="11" t="s">
        <v>98</v>
      </c>
      <c r="D22" s="19" t="s">
        <v>108</v>
      </c>
      <c r="E22" s="20">
        <v>0.9</v>
      </c>
      <c r="F22" s="11">
        <f>E22*N3</f>
        <v>144</v>
      </c>
      <c r="G22" s="19"/>
      <c r="H22" s="19">
        <v>28</v>
      </c>
      <c r="I22" s="14">
        <f t="shared" si="1"/>
        <v>28</v>
      </c>
      <c r="J22" s="14">
        <f t="shared" si="2"/>
        <v>116</v>
      </c>
      <c r="K22" s="15">
        <f t="shared" si="0"/>
        <v>0.80555555555555558</v>
      </c>
      <c r="M22">
        <v>12</v>
      </c>
    </row>
    <row r="23" spans="1:13" x14ac:dyDescent="0.35">
      <c r="A23" s="10">
        <v>16</v>
      </c>
      <c r="B23" s="19" t="s">
        <v>93</v>
      </c>
      <c r="C23" s="11" t="s">
        <v>98</v>
      </c>
      <c r="D23" s="19" t="s">
        <v>86</v>
      </c>
      <c r="E23" s="20">
        <v>0.1</v>
      </c>
      <c r="F23" s="11">
        <f>E23*N3</f>
        <v>16</v>
      </c>
      <c r="G23" s="19"/>
      <c r="H23" s="19"/>
      <c r="I23" s="14">
        <f t="shared" ref="I23" si="10">G23+H23</f>
        <v>0</v>
      </c>
      <c r="J23" s="14">
        <f t="shared" ref="J23" si="11">F23-I23</f>
        <v>16</v>
      </c>
      <c r="K23" s="15">
        <f t="shared" ref="K23" si="12">IF(F23=0,"",J23/F23)</f>
        <v>1</v>
      </c>
    </row>
    <row r="24" spans="1:13" x14ac:dyDescent="0.35">
      <c r="A24" s="10">
        <v>17</v>
      </c>
      <c r="B24" s="19" t="s">
        <v>94</v>
      </c>
      <c r="C24" s="11" t="s">
        <v>61</v>
      </c>
      <c r="D24" s="19" t="s">
        <v>101</v>
      </c>
      <c r="E24" s="13">
        <v>1</v>
      </c>
      <c r="F24" s="11">
        <f>E24*N3</f>
        <v>160</v>
      </c>
      <c r="G24" s="11">
        <v>35</v>
      </c>
      <c r="H24" s="11"/>
      <c r="I24" s="14">
        <f t="shared" si="1"/>
        <v>35</v>
      </c>
      <c r="J24" s="14">
        <f t="shared" si="2"/>
        <v>125</v>
      </c>
      <c r="K24" s="15">
        <f>IF(F24=0,"",J24/F24)</f>
        <v>0.78125</v>
      </c>
      <c r="L24">
        <v>2</v>
      </c>
      <c r="M24">
        <v>3</v>
      </c>
    </row>
    <row r="25" spans="1:13" x14ac:dyDescent="0.35">
      <c r="A25" s="10">
        <v>18</v>
      </c>
      <c r="B25" s="19" t="s">
        <v>90</v>
      </c>
      <c r="C25" s="11" t="s">
        <v>61</v>
      </c>
      <c r="D25" s="19" t="s">
        <v>101</v>
      </c>
      <c r="E25" s="13">
        <v>1</v>
      </c>
      <c r="F25" s="11">
        <f>E25*N3</f>
        <v>160</v>
      </c>
      <c r="G25" s="11">
        <v>37</v>
      </c>
      <c r="H25" s="11"/>
      <c r="I25" s="14">
        <f t="shared" si="1"/>
        <v>37</v>
      </c>
      <c r="J25" s="14">
        <f t="shared" si="2"/>
        <v>123</v>
      </c>
      <c r="K25" s="15">
        <f t="shared" ref="K25:K34" si="13">IF(F25=0,"",J25/F25)</f>
        <v>0.76875000000000004</v>
      </c>
      <c r="M25">
        <v>3</v>
      </c>
    </row>
    <row r="26" spans="1:13" x14ac:dyDescent="0.35">
      <c r="A26" s="10">
        <v>19</v>
      </c>
      <c r="B26" s="19" t="s">
        <v>95</v>
      </c>
      <c r="C26" s="19" t="s">
        <v>99</v>
      </c>
      <c r="D26" s="19" t="s">
        <v>85</v>
      </c>
      <c r="E26" s="13">
        <v>0.1</v>
      </c>
      <c r="F26" s="11">
        <f>E26*N3</f>
        <v>16</v>
      </c>
      <c r="G26" s="11"/>
      <c r="H26" s="11">
        <v>5</v>
      </c>
      <c r="I26" s="14">
        <f t="shared" si="1"/>
        <v>5</v>
      </c>
      <c r="J26" s="14">
        <f t="shared" si="2"/>
        <v>11</v>
      </c>
      <c r="K26" s="15">
        <f t="shared" si="13"/>
        <v>0.6875</v>
      </c>
      <c r="L26">
        <v>10</v>
      </c>
      <c r="M26">
        <v>5</v>
      </c>
    </row>
    <row r="27" spans="1:13" x14ac:dyDescent="0.35">
      <c r="A27" s="10">
        <v>20</v>
      </c>
      <c r="B27" s="19" t="s">
        <v>95</v>
      </c>
      <c r="C27" s="19" t="s">
        <v>99</v>
      </c>
      <c r="D27" s="19" t="s">
        <v>104</v>
      </c>
      <c r="E27" s="20">
        <v>0.9</v>
      </c>
      <c r="F27" s="11">
        <f>E27*N3</f>
        <v>144</v>
      </c>
      <c r="G27" s="19"/>
      <c r="H27" s="19">
        <v>20</v>
      </c>
      <c r="I27" s="14">
        <f t="shared" si="1"/>
        <v>20</v>
      </c>
      <c r="J27" s="14">
        <f t="shared" si="2"/>
        <v>124</v>
      </c>
      <c r="K27" s="15">
        <f t="shared" si="13"/>
        <v>0.86111111111111116</v>
      </c>
    </row>
    <row r="28" spans="1:13" x14ac:dyDescent="0.35">
      <c r="A28" s="10">
        <v>21</v>
      </c>
      <c r="B28" s="19" t="s">
        <v>96</v>
      </c>
      <c r="C28" s="19" t="s">
        <v>61</v>
      </c>
      <c r="D28" s="19" t="s">
        <v>102</v>
      </c>
      <c r="E28" s="20">
        <v>1</v>
      </c>
      <c r="F28" s="11">
        <f>E28*N3</f>
        <v>160</v>
      </c>
      <c r="G28" s="19">
        <v>160</v>
      </c>
      <c r="H28" s="19"/>
      <c r="I28" s="14">
        <f t="shared" si="1"/>
        <v>160</v>
      </c>
      <c r="J28" s="14">
        <f t="shared" si="2"/>
        <v>0</v>
      </c>
      <c r="K28" s="15">
        <f t="shared" si="13"/>
        <v>0</v>
      </c>
    </row>
    <row r="29" spans="1:13" x14ac:dyDescent="0.35">
      <c r="A29" s="10">
        <v>22</v>
      </c>
      <c r="B29" s="19" t="s">
        <v>97</v>
      </c>
      <c r="C29" s="19" t="s">
        <v>100</v>
      </c>
      <c r="D29" s="19" t="s">
        <v>103</v>
      </c>
      <c r="E29" s="20">
        <v>1</v>
      </c>
      <c r="F29" s="11">
        <f>E29*N3</f>
        <v>160</v>
      </c>
      <c r="G29" s="19">
        <v>160</v>
      </c>
      <c r="H29" s="19"/>
      <c r="I29" s="14">
        <f t="shared" si="1"/>
        <v>160</v>
      </c>
      <c r="J29" s="14">
        <f t="shared" si="2"/>
        <v>0</v>
      </c>
      <c r="K29" s="15">
        <f t="shared" si="13"/>
        <v>0</v>
      </c>
    </row>
    <row r="30" spans="1:13" x14ac:dyDescent="0.35">
      <c r="A30" s="18">
        <v>23</v>
      </c>
      <c r="B30" s="19" t="s">
        <v>111</v>
      </c>
      <c r="C30" s="19" t="s">
        <v>99</v>
      </c>
      <c r="D30" s="19" t="s">
        <v>104</v>
      </c>
      <c r="E30" s="20">
        <v>1</v>
      </c>
      <c r="F30" s="19">
        <v>80</v>
      </c>
      <c r="H30" s="19">
        <v>80</v>
      </c>
      <c r="I30" s="14">
        <f t="shared" si="1"/>
        <v>80</v>
      </c>
      <c r="J30" s="14">
        <f t="shared" si="2"/>
        <v>0</v>
      </c>
      <c r="K30" s="15">
        <f t="shared" si="13"/>
        <v>0</v>
      </c>
    </row>
    <row r="31" spans="1:13" x14ac:dyDescent="0.35">
      <c r="A31" s="18">
        <v>24</v>
      </c>
      <c r="B31" s="19" t="s">
        <v>112</v>
      </c>
      <c r="C31" s="19" t="s">
        <v>99</v>
      </c>
      <c r="D31" s="19" t="s">
        <v>104</v>
      </c>
      <c r="E31" s="20">
        <v>1</v>
      </c>
      <c r="F31" s="19">
        <v>80</v>
      </c>
      <c r="H31" s="19">
        <v>80</v>
      </c>
      <c r="I31" s="14">
        <f t="shared" si="1"/>
        <v>80</v>
      </c>
      <c r="J31" s="14">
        <f t="shared" si="2"/>
        <v>0</v>
      </c>
      <c r="K31" s="15">
        <f t="shared" si="13"/>
        <v>0</v>
      </c>
    </row>
    <row r="32" spans="1:13" x14ac:dyDescent="0.35">
      <c r="A32" s="18">
        <v>25</v>
      </c>
      <c r="B32" s="19" t="s">
        <v>113</v>
      </c>
      <c r="C32" s="19" t="s">
        <v>99</v>
      </c>
      <c r="D32" s="19" t="s">
        <v>104</v>
      </c>
      <c r="E32" s="20">
        <v>1</v>
      </c>
      <c r="F32" s="19">
        <v>80</v>
      </c>
      <c r="H32" s="19">
        <v>80</v>
      </c>
      <c r="I32" s="14">
        <f t="shared" si="1"/>
        <v>80</v>
      </c>
      <c r="J32" s="14">
        <f t="shared" si="2"/>
        <v>0</v>
      </c>
      <c r="K32" s="15">
        <f t="shared" si="13"/>
        <v>0</v>
      </c>
    </row>
    <row r="33" spans="1:11" x14ac:dyDescent="0.35">
      <c r="A33" s="18">
        <v>26</v>
      </c>
      <c r="B33" s="19" t="s">
        <v>114</v>
      </c>
      <c r="C33" s="19" t="s">
        <v>99</v>
      </c>
      <c r="D33" s="19" t="s">
        <v>104</v>
      </c>
      <c r="E33" s="20">
        <v>1</v>
      </c>
      <c r="F33" s="19">
        <v>80</v>
      </c>
      <c r="H33" s="19">
        <v>80</v>
      </c>
      <c r="I33" s="14">
        <f t="shared" si="1"/>
        <v>80</v>
      </c>
      <c r="J33" s="14">
        <f t="shared" si="2"/>
        <v>0</v>
      </c>
      <c r="K33" s="15">
        <f t="shared" si="13"/>
        <v>0</v>
      </c>
    </row>
    <row r="34" spans="1:11" x14ac:dyDescent="0.35">
      <c r="A34" s="18">
        <v>27</v>
      </c>
      <c r="B34" s="19" t="s">
        <v>115</v>
      </c>
      <c r="C34" s="19" t="s">
        <v>99</v>
      </c>
      <c r="D34" s="19" t="s">
        <v>104</v>
      </c>
      <c r="E34" s="20">
        <v>1</v>
      </c>
      <c r="F34" s="19">
        <v>80</v>
      </c>
      <c r="H34" s="19">
        <v>80</v>
      </c>
      <c r="I34" s="14">
        <f t="shared" si="1"/>
        <v>80</v>
      </c>
      <c r="J34" s="14">
        <f t="shared" si="2"/>
        <v>0</v>
      </c>
      <c r="K34" s="15">
        <f t="shared" si="13"/>
        <v>0</v>
      </c>
    </row>
    <row r="35" spans="1:11" x14ac:dyDescent="0.35">
      <c r="A35" s="18"/>
      <c r="B35" s="19"/>
      <c r="C35" s="19"/>
      <c r="D35" s="19"/>
      <c r="E35" s="20"/>
      <c r="F35" s="19"/>
      <c r="G35" s="19"/>
      <c r="H35" s="19"/>
      <c r="I35" s="21"/>
      <c r="J35" s="21"/>
      <c r="K35" s="22"/>
    </row>
    <row r="36" spans="1:11" x14ac:dyDescent="0.35">
      <c r="A36" s="18"/>
      <c r="B36" s="19"/>
      <c r="C36" s="19"/>
      <c r="D36" s="19"/>
      <c r="E36" s="20"/>
      <c r="F36" s="19"/>
      <c r="G36" s="19"/>
      <c r="H36" s="19"/>
      <c r="I36" s="21"/>
      <c r="J36" s="21"/>
      <c r="K36" s="22"/>
    </row>
    <row r="37" spans="1:11" x14ac:dyDescent="0.35">
      <c r="A37" s="18"/>
      <c r="B37" s="19"/>
      <c r="C37" s="19"/>
      <c r="D37" s="19"/>
      <c r="E37" s="20"/>
      <c r="F37" s="19"/>
      <c r="G37" s="19"/>
      <c r="H37" s="19"/>
      <c r="I37" s="21"/>
      <c r="J37" s="21"/>
      <c r="K37" s="22"/>
    </row>
    <row r="38" spans="1:11" x14ac:dyDescent="0.35">
      <c r="A38" s="18"/>
      <c r="B38" s="19"/>
      <c r="C38" s="19"/>
      <c r="D38" s="19"/>
      <c r="E38" s="20"/>
      <c r="F38" s="19"/>
      <c r="G38" s="19"/>
      <c r="H38" s="19"/>
      <c r="I38" s="21"/>
      <c r="J38" s="21"/>
      <c r="K38" s="22"/>
    </row>
    <row r="41" spans="1:11" x14ac:dyDescent="0.35">
      <c r="A41" s="37" t="s">
        <v>63</v>
      </c>
      <c r="B41" s="37"/>
      <c r="C41" s="37"/>
      <c r="D41" s="37"/>
      <c r="E41" s="37"/>
      <c r="F41" s="37"/>
      <c r="G41" s="37"/>
      <c r="H41" s="37"/>
      <c r="I41" s="37"/>
      <c r="J41" s="37"/>
    </row>
    <row r="42" spans="1:11" ht="26" x14ac:dyDescent="0.35">
      <c r="A42" t="s">
        <v>36</v>
      </c>
      <c r="B42" s="9" t="s">
        <v>52</v>
      </c>
      <c r="C42" s="9" t="s">
        <v>53</v>
      </c>
      <c r="D42" s="9" t="s">
        <v>64</v>
      </c>
      <c r="E42" s="9" t="s">
        <v>42</v>
      </c>
      <c r="F42" s="9" t="s">
        <v>43</v>
      </c>
      <c r="G42" s="9" t="s">
        <v>44</v>
      </c>
      <c r="H42" s="9" t="s">
        <v>45</v>
      </c>
      <c r="I42" s="9" t="s">
        <v>65</v>
      </c>
      <c r="J42" s="9" t="s">
        <v>66</v>
      </c>
      <c r="K42" s="9" t="s">
        <v>67</v>
      </c>
    </row>
    <row r="43" spans="1:11" x14ac:dyDescent="0.35">
      <c r="A43">
        <v>1</v>
      </c>
      <c r="B43" s="11" t="s">
        <v>84</v>
      </c>
      <c r="C43" s="14" t="str">
        <f t="shared" ref="C43:C60" si="14">INDEX($C$5:$C$38,MATCH(B43,$B$5:$B$38,0))</f>
        <v>Project Manager</v>
      </c>
      <c r="D43" s="16">
        <f>SUMIF($B$5:$B$40,B43,$E$5:$E$40)</f>
        <v>1</v>
      </c>
      <c r="E43" s="14">
        <f>SUMIF($B$5:$B$40,B43,$F$5:$F$40)</f>
        <v>160</v>
      </c>
      <c r="F43" s="14">
        <f>SUMIF($B$5:$B$40,B43,$I$5:$I$40)</f>
        <v>144</v>
      </c>
      <c r="G43" s="14">
        <f t="shared" ref="G43:G57" si="15">F43-E43</f>
        <v>-16</v>
      </c>
      <c r="H43" s="15">
        <f t="shared" ref="H43:H57" si="16">IF(E43=0,"",G43/E43)</f>
        <v>-0.1</v>
      </c>
      <c r="I43" s="11">
        <v>160</v>
      </c>
      <c r="J43" s="15">
        <f t="shared" ref="J43:J60" si="17">F43/I43</f>
        <v>0.9</v>
      </c>
      <c r="K43" s="14" t="str">
        <f t="shared" ref="K43:K60" si="18">IF(D43&gt;1,"Over-allocated",IF(D43=1,"Fully Allocated","Under-allocated"))</f>
        <v>Fully Allocated</v>
      </c>
    </row>
    <row r="44" spans="1:11" x14ac:dyDescent="0.35">
      <c r="A44">
        <v>2</v>
      </c>
      <c r="B44" s="11" t="s">
        <v>59</v>
      </c>
      <c r="C44" s="14" t="str">
        <f t="shared" si="14"/>
        <v>Software Developer</v>
      </c>
      <c r="D44" s="16">
        <f t="shared" ref="D44:D60" si="19">SUMIF($B$5:$B$40,B44,$E$5:$E$40)</f>
        <v>0.99999999999999989</v>
      </c>
      <c r="E44" s="14">
        <f t="shared" ref="E44:E60" si="20">SUMIF($B$5:$B$40,B44,$F$5:$F$40)</f>
        <v>160</v>
      </c>
      <c r="F44" s="14">
        <f t="shared" ref="F44:F60" si="21">SUMIF($B$5:$B$40,B44,$I$5:$I$40)</f>
        <v>27</v>
      </c>
      <c r="G44" s="14">
        <f t="shared" si="15"/>
        <v>-133</v>
      </c>
      <c r="H44" s="15">
        <f t="shared" si="16"/>
        <v>-0.83125000000000004</v>
      </c>
      <c r="I44" s="11">
        <v>160</v>
      </c>
      <c r="J44" s="15">
        <f t="shared" si="17"/>
        <v>0.16875000000000001</v>
      </c>
      <c r="K44" s="14" t="str">
        <f t="shared" si="18"/>
        <v>Fully Allocated</v>
      </c>
    </row>
    <row r="45" spans="1:11" x14ac:dyDescent="0.35">
      <c r="A45">
        <v>3</v>
      </c>
      <c r="B45" s="11" t="s">
        <v>58</v>
      </c>
      <c r="C45" s="14" t="str">
        <f t="shared" si="14"/>
        <v>Software Developer</v>
      </c>
      <c r="D45" s="16">
        <f t="shared" si="19"/>
        <v>1</v>
      </c>
      <c r="E45" s="14">
        <f t="shared" si="20"/>
        <v>160</v>
      </c>
      <c r="F45" s="14">
        <f t="shared" si="21"/>
        <v>29</v>
      </c>
      <c r="G45" s="14">
        <f t="shared" si="15"/>
        <v>-131</v>
      </c>
      <c r="H45" s="15">
        <f t="shared" si="16"/>
        <v>-0.81874999999999998</v>
      </c>
      <c r="I45" s="11">
        <v>160</v>
      </c>
      <c r="J45" s="15">
        <f t="shared" si="17"/>
        <v>0.18124999999999999</v>
      </c>
      <c r="K45" s="14" t="str">
        <f t="shared" si="18"/>
        <v>Fully Allocated</v>
      </c>
    </row>
    <row r="46" spans="1:11" x14ac:dyDescent="0.35">
      <c r="A46">
        <v>4</v>
      </c>
      <c r="B46" s="11" t="s">
        <v>62</v>
      </c>
      <c r="C46" s="14" t="str">
        <f t="shared" si="14"/>
        <v>Jr.Software Developer</v>
      </c>
      <c r="D46" s="16">
        <f t="shared" si="19"/>
        <v>1</v>
      </c>
      <c r="E46" s="14">
        <f t="shared" si="20"/>
        <v>160</v>
      </c>
      <c r="F46" s="14">
        <f t="shared" si="21"/>
        <v>29</v>
      </c>
      <c r="G46" s="14">
        <f t="shared" si="15"/>
        <v>-131</v>
      </c>
      <c r="H46" s="15">
        <f t="shared" si="16"/>
        <v>-0.81874999999999998</v>
      </c>
      <c r="I46" s="11">
        <v>160</v>
      </c>
      <c r="J46" s="15">
        <f t="shared" si="17"/>
        <v>0.18124999999999999</v>
      </c>
      <c r="K46" s="14" t="str">
        <f t="shared" si="18"/>
        <v>Fully Allocated</v>
      </c>
    </row>
    <row r="47" spans="1:11" x14ac:dyDescent="0.35">
      <c r="A47">
        <v>5</v>
      </c>
      <c r="B47" s="11" t="s">
        <v>60</v>
      </c>
      <c r="C47" s="14" t="str">
        <f t="shared" si="14"/>
        <v>Jr.Software Developer</v>
      </c>
      <c r="D47" s="16">
        <f t="shared" si="19"/>
        <v>1</v>
      </c>
      <c r="E47" s="14">
        <f t="shared" si="20"/>
        <v>160</v>
      </c>
      <c r="F47" s="14">
        <f t="shared" si="21"/>
        <v>30</v>
      </c>
      <c r="G47" s="14">
        <f t="shared" si="15"/>
        <v>-130</v>
      </c>
      <c r="H47" s="23">
        <f t="shared" si="16"/>
        <v>-0.8125</v>
      </c>
      <c r="I47" s="11">
        <v>160</v>
      </c>
      <c r="J47" s="15">
        <f t="shared" si="17"/>
        <v>0.1875</v>
      </c>
      <c r="K47" s="14" t="str">
        <f t="shared" si="18"/>
        <v>Fully Allocated</v>
      </c>
    </row>
    <row r="48" spans="1:11" x14ac:dyDescent="0.35">
      <c r="A48">
        <v>6</v>
      </c>
      <c r="B48" s="19" t="s">
        <v>91</v>
      </c>
      <c r="C48" s="14" t="str">
        <f t="shared" si="14"/>
        <v>Jr.Software Developer</v>
      </c>
      <c r="D48" s="16">
        <f t="shared" si="19"/>
        <v>1</v>
      </c>
      <c r="E48" s="14">
        <f t="shared" si="20"/>
        <v>160</v>
      </c>
      <c r="F48" s="14">
        <f t="shared" si="21"/>
        <v>34</v>
      </c>
      <c r="G48" s="14">
        <f t="shared" si="15"/>
        <v>-126</v>
      </c>
      <c r="H48" s="23">
        <f t="shared" si="16"/>
        <v>-0.78749999999999998</v>
      </c>
      <c r="I48" s="11">
        <v>160</v>
      </c>
      <c r="J48" s="15">
        <f t="shared" si="17"/>
        <v>0.21249999999999999</v>
      </c>
      <c r="K48" s="14" t="str">
        <f t="shared" si="18"/>
        <v>Fully Allocated</v>
      </c>
    </row>
    <row r="49" spans="1:11" x14ac:dyDescent="0.35">
      <c r="A49">
        <v>7</v>
      </c>
      <c r="B49" s="19" t="s">
        <v>92</v>
      </c>
      <c r="C49" s="14" t="str">
        <f t="shared" si="14"/>
        <v>Jr.Software Developer</v>
      </c>
      <c r="D49" s="16">
        <f t="shared" si="19"/>
        <v>1</v>
      </c>
      <c r="E49" s="14">
        <f t="shared" si="20"/>
        <v>160</v>
      </c>
      <c r="F49" s="14">
        <f t="shared" si="21"/>
        <v>25</v>
      </c>
      <c r="G49" s="14">
        <f t="shared" si="15"/>
        <v>-135</v>
      </c>
      <c r="H49" s="23">
        <f t="shared" si="16"/>
        <v>-0.84375</v>
      </c>
      <c r="I49" s="11">
        <v>160</v>
      </c>
      <c r="J49" s="15">
        <f t="shared" si="17"/>
        <v>0.15625</v>
      </c>
      <c r="K49" s="14" t="str">
        <f t="shared" si="18"/>
        <v>Fully Allocated</v>
      </c>
    </row>
    <row r="50" spans="1:11" x14ac:dyDescent="0.35">
      <c r="A50">
        <v>8</v>
      </c>
      <c r="B50" s="19" t="s">
        <v>93</v>
      </c>
      <c r="C50" s="14" t="str">
        <f t="shared" si="14"/>
        <v>Jr.Software Developer</v>
      </c>
      <c r="D50" s="16">
        <f t="shared" si="19"/>
        <v>1</v>
      </c>
      <c r="E50" s="14">
        <f t="shared" si="20"/>
        <v>160</v>
      </c>
      <c r="F50" s="14">
        <f t="shared" si="21"/>
        <v>28</v>
      </c>
      <c r="G50" s="14">
        <f t="shared" si="15"/>
        <v>-132</v>
      </c>
      <c r="H50" s="23">
        <f t="shared" si="16"/>
        <v>-0.82499999999999996</v>
      </c>
      <c r="I50" s="11">
        <v>160</v>
      </c>
      <c r="J50" s="15">
        <f t="shared" si="17"/>
        <v>0.17499999999999999</v>
      </c>
      <c r="K50" s="14" t="str">
        <f t="shared" si="18"/>
        <v>Fully Allocated</v>
      </c>
    </row>
    <row r="51" spans="1:11" x14ac:dyDescent="0.35">
      <c r="A51">
        <v>9</v>
      </c>
      <c r="B51" s="19" t="s">
        <v>94</v>
      </c>
      <c r="C51" s="14" t="str">
        <f t="shared" si="14"/>
        <v>Software Developer</v>
      </c>
      <c r="D51" s="16">
        <f t="shared" si="19"/>
        <v>1</v>
      </c>
      <c r="E51" s="14">
        <f t="shared" si="20"/>
        <v>160</v>
      </c>
      <c r="F51" s="14">
        <f t="shared" si="21"/>
        <v>35</v>
      </c>
      <c r="G51" s="14">
        <f t="shared" si="15"/>
        <v>-125</v>
      </c>
      <c r="H51" s="23">
        <f t="shared" si="16"/>
        <v>-0.78125</v>
      </c>
      <c r="I51" s="11">
        <v>160</v>
      </c>
      <c r="J51" s="15">
        <f t="shared" si="17"/>
        <v>0.21875</v>
      </c>
      <c r="K51" s="14" t="str">
        <f t="shared" si="18"/>
        <v>Fully Allocated</v>
      </c>
    </row>
    <row r="52" spans="1:11" x14ac:dyDescent="0.35">
      <c r="A52">
        <v>10</v>
      </c>
      <c r="B52" s="19" t="s">
        <v>90</v>
      </c>
      <c r="C52" s="14" t="str">
        <f t="shared" si="14"/>
        <v>Software Developer</v>
      </c>
      <c r="D52" s="16">
        <f t="shared" si="19"/>
        <v>1</v>
      </c>
      <c r="E52" s="14">
        <f t="shared" si="20"/>
        <v>160</v>
      </c>
      <c r="F52" s="14">
        <f t="shared" si="21"/>
        <v>37</v>
      </c>
      <c r="G52" s="14">
        <f t="shared" si="15"/>
        <v>-123</v>
      </c>
      <c r="H52" s="23">
        <f t="shared" si="16"/>
        <v>-0.76875000000000004</v>
      </c>
      <c r="I52" s="11">
        <v>160</v>
      </c>
      <c r="J52" s="15">
        <f t="shared" si="17"/>
        <v>0.23125000000000001</v>
      </c>
      <c r="K52" s="14" t="str">
        <f t="shared" si="18"/>
        <v>Fully Allocated</v>
      </c>
    </row>
    <row r="53" spans="1:11" x14ac:dyDescent="0.35">
      <c r="A53">
        <v>11</v>
      </c>
      <c r="B53" s="19" t="s">
        <v>95</v>
      </c>
      <c r="C53" s="14" t="str">
        <f t="shared" si="14"/>
        <v>Intern</v>
      </c>
      <c r="D53" s="16">
        <f t="shared" si="19"/>
        <v>1</v>
      </c>
      <c r="E53" s="14">
        <f t="shared" si="20"/>
        <v>160</v>
      </c>
      <c r="F53" s="14">
        <f t="shared" si="21"/>
        <v>25</v>
      </c>
      <c r="G53" s="14">
        <f t="shared" si="15"/>
        <v>-135</v>
      </c>
      <c r="H53" s="23">
        <f t="shared" si="16"/>
        <v>-0.84375</v>
      </c>
      <c r="I53" s="11">
        <v>160</v>
      </c>
      <c r="J53" s="15">
        <f t="shared" si="17"/>
        <v>0.15625</v>
      </c>
      <c r="K53" s="14" t="str">
        <f t="shared" si="18"/>
        <v>Fully Allocated</v>
      </c>
    </row>
    <row r="54" spans="1:11" x14ac:dyDescent="0.35">
      <c r="A54">
        <v>13</v>
      </c>
      <c r="B54" s="19" t="s">
        <v>96</v>
      </c>
      <c r="C54" s="14" t="str">
        <f t="shared" si="14"/>
        <v>Software Developer</v>
      </c>
      <c r="D54" s="16">
        <f t="shared" si="19"/>
        <v>1</v>
      </c>
      <c r="E54" s="14">
        <f t="shared" si="20"/>
        <v>160</v>
      </c>
      <c r="F54" s="14">
        <f t="shared" si="21"/>
        <v>160</v>
      </c>
      <c r="G54" s="14">
        <f t="shared" si="15"/>
        <v>0</v>
      </c>
      <c r="H54" s="23">
        <f t="shared" si="16"/>
        <v>0</v>
      </c>
      <c r="I54" s="11">
        <v>160</v>
      </c>
      <c r="J54" s="15">
        <f t="shared" si="17"/>
        <v>1</v>
      </c>
      <c r="K54" s="14" t="str">
        <f t="shared" si="18"/>
        <v>Fully Allocated</v>
      </c>
    </row>
    <row r="55" spans="1:11" x14ac:dyDescent="0.35">
      <c r="A55">
        <v>14</v>
      </c>
      <c r="B55" s="19" t="s">
        <v>97</v>
      </c>
      <c r="C55" s="14" t="str">
        <f t="shared" si="14"/>
        <v>CRM Developer</v>
      </c>
      <c r="D55" s="16">
        <f t="shared" si="19"/>
        <v>1</v>
      </c>
      <c r="E55" s="14">
        <f t="shared" si="20"/>
        <v>160</v>
      </c>
      <c r="F55" s="14">
        <f t="shared" si="21"/>
        <v>160</v>
      </c>
      <c r="G55" s="14">
        <f t="shared" si="15"/>
        <v>0</v>
      </c>
      <c r="H55" s="23">
        <f t="shared" si="16"/>
        <v>0</v>
      </c>
      <c r="I55" s="11">
        <v>160</v>
      </c>
      <c r="J55" s="15">
        <f t="shared" si="17"/>
        <v>1</v>
      </c>
      <c r="K55" s="14" t="str">
        <f t="shared" si="18"/>
        <v>Fully Allocated</v>
      </c>
    </row>
    <row r="56" spans="1:11" x14ac:dyDescent="0.35">
      <c r="A56">
        <v>15</v>
      </c>
      <c r="B56" s="19" t="s">
        <v>111</v>
      </c>
      <c r="C56" s="14" t="str">
        <f t="shared" si="14"/>
        <v>Intern</v>
      </c>
      <c r="D56" s="16">
        <f t="shared" si="19"/>
        <v>1</v>
      </c>
      <c r="E56" s="14">
        <f t="shared" si="20"/>
        <v>80</v>
      </c>
      <c r="F56" s="14">
        <f t="shared" si="21"/>
        <v>80</v>
      </c>
      <c r="G56" s="14">
        <f t="shared" si="15"/>
        <v>0</v>
      </c>
      <c r="H56" s="23">
        <f t="shared" si="16"/>
        <v>0</v>
      </c>
      <c r="I56" s="11">
        <v>80</v>
      </c>
      <c r="J56" s="15">
        <f t="shared" si="17"/>
        <v>1</v>
      </c>
      <c r="K56" s="14" t="str">
        <f t="shared" si="18"/>
        <v>Fully Allocated</v>
      </c>
    </row>
    <row r="57" spans="1:11" x14ac:dyDescent="0.35">
      <c r="A57">
        <v>16</v>
      </c>
      <c r="B57" s="19" t="s">
        <v>112</v>
      </c>
      <c r="C57" s="14" t="str">
        <f t="shared" si="14"/>
        <v>Intern</v>
      </c>
      <c r="D57" s="16">
        <f t="shared" si="19"/>
        <v>1</v>
      </c>
      <c r="E57" s="14">
        <f t="shared" si="20"/>
        <v>80</v>
      </c>
      <c r="F57" s="14">
        <f t="shared" si="21"/>
        <v>80</v>
      </c>
      <c r="G57" s="14">
        <f t="shared" si="15"/>
        <v>0</v>
      </c>
      <c r="H57" s="23">
        <f t="shared" si="16"/>
        <v>0</v>
      </c>
      <c r="I57" s="11">
        <v>80</v>
      </c>
      <c r="J57" s="15">
        <f t="shared" si="17"/>
        <v>1</v>
      </c>
      <c r="K57" s="14" t="str">
        <f t="shared" si="18"/>
        <v>Fully Allocated</v>
      </c>
    </row>
    <row r="58" spans="1:11" x14ac:dyDescent="0.35">
      <c r="A58">
        <v>17</v>
      </c>
      <c r="B58" s="19" t="s">
        <v>113</v>
      </c>
      <c r="C58" s="14" t="str">
        <f t="shared" si="14"/>
        <v>Intern</v>
      </c>
      <c r="D58" s="16">
        <f t="shared" si="19"/>
        <v>1</v>
      </c>
      <c r="E58" s="14">
        <f t="shared" si="20"/>
        <v>80</v>
      </c>
      <c r="F58" s="14">
        <f t="shared" si="21"/>
        <v>80</v>
      </c>
      <c r="G58" s="14">
        <f t="shared" ref="G58:G60" si="22">F58-E58</f>
        <v>0</v>
      </c>
      <c r="H58" s="23">
        <f t="shared" ref="H58:H60" si="23">IF(E58=0,"",G58/E58)</f>
        <v>0</v>
      </c>
      <c r="I58" s="11">
        <v>80</v>
      </c>
      <c r="J58" s="15">
        <f t="shared" si="17"/>
        <v>1</v>
      </c>
      <c r="K58" s="14" t="str">
        <f t="shared" si="18"/>
        <v>Fully Allocated</v>
      </c>
    </row>
    <row r="59" spans="1:11" x14ac:dyDescent="0.35">
      <c r="A59">
        <v>18</v>
      </c>
      <c r="B59" s="19" t="s">
        <v>114</v>
      </c>
      <c r="C59" s="14" t="str">
        <f t="shared" si="14"/>
        <v>Intern</v>
      </c>
      <c r="D59" s="16">
        <f t="shared" si="19"/>
        <v>1</v>
      </c>
      <c r="E59" s="14">
        <f t="shared" si="20"/>
        <v>80</v>
      </c>
      <c r="F59" s="14">
        <f t="shared" si="21"/>
        <v>80</v>
      </c>
      <c r="G59" s="14">
        <f t="shared" si="22"/>
        <v>0</v>
      </c>
      <c r="H59" s="23">
        <f t="shared" si="23"/>
        <v>0</v>
      </c>
      <c r="I59" s="11">
        <v>80</v>
      </c>
      <c r="J59" s="15">
        <f t="shared" si="17"/>
        <v>1</v>
      </c>
      <c r="K59" s="14" t="str">
        <f t="shared" si="18"/>
        <v>Fully Allocated</v>
      </c>
    </row>
    <row r="60" spans="1:11" x14ac:dyDescent="0.35">
      <c r="A60">
        <v>19</v>
      </c>
      <c r="B60" s="19" t="s">
        <v>115</v>
      </c>
      <c r="C60" s="14" t="str">
        <f t="shared" si="14"/>
        <v>Intern</v>
      </c>
      <c r="D60" s="16">
        <f t="shared" si="19"/>
        <v>1</v>
      </c>
      <c r="E60" s="14">
        <f t="shared" si="20"/>
        <v>80</v>
      </c>
      <c r="F60" s="14">
        <f t="shared" si="21"/>
        <v>80</v>
      </c>
      <c r="G60" s="14">
        <f t="shared" si="22"/>
        <v>0</v>
      </c>
      <c r="H60" s="23">
        <f t="shared" si="23"/>
        <v>0</v>
      </c>
      <c r="I60" s="11">
        <v>80</v>
      </c>
      <c r="J60" s="15">
        <f t="shared" si="17"/>
        <v>1</v>
      </c>
      <c r="K60" s="14" t="str">
        <f t="shared" si="18"/>
        <v>Fully Allocated</v>
      </c>
    </row>
  </sheetData>
  <mergeCells count="3">
    <mergeCell ref="A1:K1"/>
    <mergeCell ref="A2:K2"/>
    <mergeCell ref="A41:J41"/>
  </mergeCells>
  <conditionalFormatting sqref="D43:D60">
    <cfRule type="cellIs" dxfId="16" priority="5" operator="greaterThan">
      <formula>1</formula>
    </cfRule>
    <cfRule type="cellIs" dxfId="15" priority="6" operator="equal">
      <formula>1</formula>
    </cfRule>
    <cfRule type="cellIs" dxfId="14" priority="7" operator="lessThan">
      <formula>1</formula>
    </cfRule>
  </conditionalFormatting>
  <conditionalFormatting sqref="K5:K38 H43:H60">
    <cfRule type="cellIs" dxfId="13" priority="8" operator="lessThanOrEqual">
      <formula>0</formula>
    </cfRule>
    <cfRule type="cellIs" dxfId="12" priority="9" operator="between">
      <formula>0.0001</formula>
      <formula>0.0999</formula>
    </cfRule>
    <cfRule type="cellIs" dxfId="11" priority="10" operator="greaterThanOrEqual">
      <formula>0.1</formula>
    </cfRule>
  </conditionalFormatting>
  <conditionalFormatting sqref="K43:K60">
    <cfRule type="cellIs" dxfId="10" priority="11" operator="equal">
      <formula>"Over-allocated"</formula>
    </cfRule>
    <cfRule type="cellIs" dxfId="9" priority="12" operator="equal">
      <formula>"Fully Allocated"</formula>
    </cfRule>
    <cfRule type="cellIs" dxfId="8" priority="13" operator="equal">
      <formula>"Under-allocated"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zoomScaleNormal="100" workbookViewId="0">
      <pane ySplit="4" topLeftCell="A5" activePane="bottomLeft" state="frozen"/>
      <selection pane="bottomLeft" activeCell="D22" sqref="D22"/>
    </sheetView>
  </sheetViews>
  <sheetFormatPr defaultColWidth="8.6328125" defaultRowHeight="14.5" x14ac:dyDescent="0.35"/>
  <cols>
    <col min="1" max="1" width="6" customWidth="1"/>
    <col min="2" max="2" width="12" customWidth="1"/>
    <col min="3" max="3" width="26" customWidth="1"/>
    <col min="4" max="4" width="12" customWidth="1"/>
    <col min="5" max="5" width="13" customWidth="1"/>
    <col min="6" max="7" width="14" customWidth="1"/>
    <col min="8" max="8" width="13" customWidth="1"/>
    <col min="9" max="9" width="15" customWidth="1"/>
    <col min="10" max="10" width="16" customWidth="1"/>
    <col min="11" max="11" width="13" customWidth="1"/>
    <col min="12" max="12" width="16" customWidth="1"/>
  </cols>
  <sheetData>
    <row r="1" spans="1:12" ht="21.75" customHeight="1" x14ac:dyDescent="0.35">
      <c r="A1" s="38" t="s">
        <v>68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x14ac:dyDescent="0.3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4" spans="1:12" ht="26" x14ac:dyDescent="0.35">
      <c r="A4" s="9" t="s">
        <v>36</v>
      </c>
      <c r="B4" s="9" t="s">
        <v>69</v>
      </c>
      <c r="C4" s="9" t="s">
        <v>70</v>
      </c>
      <c r="D4" s="9" t="s">
        <v>71</v>
      </c>
      <c r="E4" s="9" t="s">
        <v>72</v>
      </c>
      <c r="F4" s="9" t="s">
        <v>73</v>
      </c>
      <c r="G4" s="9" t="s">
        <v>74</v>
      </c>
      <c r="H4" s="9" t="s">
        <v>75</v>
      </c>
      <c r="I4" s="9" t="s">
        <v>76</v>
      </c>
      <c r="J4" s="9" t="s">
        <v>77</v>
      </c>
      <c r="K4" s="9" t="s">
        <v>78</v>
      </c>
      <c r="L4" s="9" t="s">
        <v>79</v>
      </c>
    </row>
    <row r="5" spans="1:12" x14ac:dyDescent="0.35">
      <c r="A5" s="10">
        <v>1</v>
      </c>
      <c r="B5" s="11" t="s">
        <v>80</v>
      </c>
      <c r="C5" s="11" t="s">
        <v>48</v>
      </c>
      <c r="D5" s="11" t="s">
        <v>28</v>
      </c>
      <c r="E5" s="11" t="s">
        <v>16</v>
      </c>
      <c r="F5" s="12">
        <v>46244</v>
      </c>
      <c r="G5" s="12">
        <v>46247</v>
      </c>
      <c r="H5" s="14">
        <v>1</v>
      </c>
      <c r="I5" s="14">
        <f>INDEX($B$10:$B$13,MATCH(D5,$A$10:$A$13,0))</f>
        <v>0</v>
      </c>
      <c r="J5" s="14">
        <f>I5-H5</f>
        <v>-1</v>
      </c>
      <c r="K5" s="14" t="str">
        <f>IF(J5&lt;0,"Breached",IF(E5="Closed","Met","Within SLA"))</f>
        <v>Breached</v>
      </c>
      <c r="L5" s="11" t="s">
        <v>81</v>
      </c>
    </row>
    <row r="8" spans="1:12" x14ac:dyDescent="0.35">
      <c r="A8" s="37" t="s">
        <v>82</v>
      </c>
      <c r="B8" s="37"/>
    </row>
    <row r="9" spans="1:12" ht="26" x14ac:dyDescent="0.35">
      <c r="A9" s="9" t="s">
        <v>71</v>
      </c>
      <c r="B9" s="9" t="s">
        <v>83</v>
      </c>
    </row>
    <row r="10" spans="1:12" x14ac:dyDescent="0.35">
      <c r="A10" s="17" t="s">
        <v>28</v>
      </c>
      <c r="B10" s="11">
        <v>0</v>
      </c>
    </row>
    <row r="11" spans="1:12" x14ac:dyDescent="0.35">
      <c r="A11" s="17" t="s">
        <v>30</v>
      </c>
      <c r="B11" s="11">
        <v>1</v>
      </c>
    </row>
    <row r="12" spans="1:12" x14ac:dyDescent="0.35">
      <c r="A12" s="17" t="s">
        <v>32</v>
      </c>
      <c r="B12" s="11">
        <v>0</v>
      </c>
    </row>
    <row r="13" spans="1:12" x14ac:dyDescent="0.35">
      <c r="A13" s="17" t="s">
        <v>34</v>
      </c>
      <c r="B13" s="11">
        <v>0</v>
      </c>
    </row>
  </sheetData>
  <mergeCells count="3">
    <mergeCell ref="A1:L1"/>
    <mergeCell ref="A2:L2"/>
    <mergeCell ref="A8:B8"/>
  </mergeCells>
  <conditionalFormatting sqref="D5">
    <cfRule type="cellIs" dxfId="7" priority="2" operator="equal">
      <formula>"Critical"</formula>
    </cfRule>
    <cfRule type="cellIs" dxfId="6" priority="3" operator="equal">
      <formula>"High"</formula>
    </cfRule>
  </conditionalFormatting>
  <conditionalFormatting sqref="E5">
    <cfRule type="cellIs" dxfId="5" priority="4" operator="equal">
      <formula>"Open"</formula>
    </cfRule>
    <cfRule type="cellIs" dxfId="4" priority="5" operator="equal">
      <formula>"In Progress"</formula>
    </cfRule>
    <cfRule type="cellIs" dxfId="3" priority="6" operator="equal">
      <formula>"Closed"</formula>
    </cfRule>
  </conditionalFormatting>
  <conditionalFormatting sqref="K5">
    <cfRule type="cellIs" dxfId="2" priority="7" operator="equal">
      <formula>"Breached"</formula>
    </cfRule>
    <cfRule type="cellIs" dxfId="1" priority="8" operator="equal">
      <formula>"Met"</formula>
    </cfRule>
    <cfRule type="cellIs" dxfId="0" priority="9" operator="equal">
      <formula>"Within SLA"</formula>
    </cfRule>
  </conditionalFormatting>
  <dataValidations count="2">
    <dataValidation type="list" allowBlank="1" sqref="D5:D189" xr:uid="{00000000-0002-0000-0300-000000000000}">
      <formula1>"Critical,High,Medium,Low"</formula1>
      <formula2>0</formula2>
    </dataValidation>
    <dataValidation type="list" allowBlank="1" sqref="E5:E189" xr:uid="{00000000-0002-0000-0300-000001000000}">
      <formula1>"Open,In Progress,Closed"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Project Status</vt:lpstr>
      <vt:lpstr>Resource Utilization</vt:lpstr>
      <vt:lpstr>Defect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Muralitharan.B</cp:lastModifiedBy>
  <cp:revision>1</cp:revision>
  <dcterms:created xsi:type="dcterms:W3CDTF">2026-08-09T15:20:59Z</dcterms:created>
  <dcterms:modified xsi:type="dcterms:W3CDTF">2026-08-31T18:14:08Z</dcterms:modified>
  <cp:category/>
  <cp:contentStatus/>
</cp:coreProperties>
</file>